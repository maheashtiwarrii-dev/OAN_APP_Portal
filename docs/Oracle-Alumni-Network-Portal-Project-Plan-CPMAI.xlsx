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y PC\Desktop\"/>
    </mc:Choice>
  </mc:AlternateContent>
  <xr:revisionPtr revIDLastSave="0" documentId="8_{F6A7113E-0389-45F0-B700-EF654776C7B6}" xr6:coauthVersionLast="47" xr6:coauthVersionMax="47" xr10:uidLastSave="{00000000-0000-0000-0000-000000000000}"/>
  <bookViews>
    <workbookView xWindow="-110" yWindow="-110" windowWidth="19420" windowHeight="11500" xr2:uid="{00000000-000D-0000-FFFF-FFFF00000000}"/>
  </bookViews>
  <sheets>
    <sheet name="Cover" sheetId="1" r:id="rId1"/>
    <sheet name="ReadMe" sheetId="2" r:id="rId2"/>
    <sheet name="Lifecycle Roadmap" sheetId="3" r:id="rId3"/>
    <sheet name="Setup &amp; Design Plan" sheetId="4" r:id="rId4"/>
    <sheet name="CXO Governance" sheetId="5" r:id="rId5"/>
    <sheet name="Change &amp; Adoption" sheetId="6" r:id="rId6"/>
    <sheet name="Success Plan" sheetId="7" r:id="rId7"/>
    <sheet name="Value Stream Map" sheetId="8" r:id="rId8"/>
    <sheet name="KPI Dashboard" sheetId="9" r:id="rId9"/>
    <sheet name="RACI Matrix" sheetId="10" r:id="rId10"/>
    <sheet name="RAID Log" sheetId="11" r:id="rId11"/>
    <sheet name="Artefact Register" sheetId="12" r:id="rId12"/>
    <sheet name="Sprint Capacity Planner" sheetId="13" r:id="rId13"/>
    <sheet name="Sprint Performance Tracker" sheetId="14" r:id="rId14"/>
    <sheet name="Sprint Roadmap" sheetId="15" r:id="rId15"/>
    <sheet name="Board Tasks" sheetId="16" r:id="rId16"/>
    <sheet name="Delivery Board" sheetId="17" r:id="rId17"/>
    <sheet name="Gate Checklist" sheetId="18" r:id="rId18"/>
    <sheet name="Kanban Board" sheetId="19" r:id="rId19"/>
    <sheet name="Kanban Dashboard" sheetId="20" r:id="rId20"/>
    <sheet name="Sprint Planner Dashboard" sheetId="21" r:id="rId21"/>
    <sheet name="Status Report" sheetId="22" r:id="rId22"/>
    <sheet name="Delivered Pages" sheetId="23" r:id="rId23"/>
    <sheet name="CI-CD Pipeline" sheetId="24" r:id="rId24"/>
  </sheets>
  <definedNames>
    <definedName name="_xlnm._FilterDatabase" localSheetId="15" hidden="1">'Board Tasks'!$A$4:$F$158</definedName>
  </definedNames>
  <calcPr calcId="181029"/>
  <fileRecoveryPr repairLoad="1"/>
</workbook>
</file>

<file path=xl/calcChain.xml><?xml version="1.0" encoding="utf-8"?>
<calcChain xmlns="http://schemas.openxmlformats.org/spreadsheetml/2006/main">
  <c r="B24" i="22" l="1"/>
  <c r="C23" i="22"/>
  <c r="C22" i="22"/>
  <c r="C21" i="22"/>
  <c r="C20" i="22"/>
  <c r="C19" i="22"/>
  <c r="C18" i="22"/>
  <c r="C24" i="22" s="1"/>
  <c r="E39" i="21"/>
  <c r="B39" i="21"/>
  <c r="E38" i="21"/>
  <c r="B38" i="21"/>
  <c r="E37" i="21"/>
  <c r="B37" i="21"/>
  <c r="E36" i="21"/>
  <c r="B36" i="21"/>
  <c r="E35" i="21"/>
  <c r="B35" i="21"/>
  <c r="E34" i="21"/>
  <c r="B34" i="21"/>
  <c r="E33" i="21"/>
  <c r="B33" i="21"/>
  <c r="E32" i="21"/>
  <c r="B32" i="21"/>
  <c r="E31" i="21"/>
  <c r="B31" i="21"/>
  <c r="E30" i="21"/>
  <c r="B30" i="21"/>
  <c r="E26" i="21"/>
  <c r="C22" i="21"/>
  <c r="B22" i="21"/>
  <c r="A22" i="21"/>
  <c r="C21" i="21"/>
  <c r="B21" i="21"/>
  <c r="A21" i="21"/>
  <c r="C20" i="21"/>
  <c r="B20" i="21"/>
  <c r="A20" i="21"/>
  <c r="C19" i="21"/>
  <c r="B19" i="21"/>
  <c r="A19" i="21"/>
  <c r="C18" i="21"/>
  <c r="B18" i="21"/>
  <c r="A18" i="21"/>
  <c r="C17" i="21"/>
  <c r="B17" i="21"/>
  <c r="A17" i="21"/>
  <c r="C16" i="21"/>
  <c r="B16" i="21"/>
  <c r="A16" i="21"/>
  <c r="C15" i="21"/>
  <c r="B15" i="21"/>
  <c r="A15" i="21"/>
  <c r="E14" i="21"/>
  <c r="D14" i="21"/>
  <c r="C14" i="21"/>
  <c r="B14" i="21"/>
  <c r="A14" i="21"/>
  <c r="C13" i="21"/>
  <c r="B13" i="21"/>
  <c r="A13" i="21"/>
  <c r="C12" i="21"/>
  <c r="B12" i="21"/>
  <c r="A12" i="21"/>
  <c r="C11" i="21"/>
  <c r="B11" i="21"/>
  <c r="A11" i="21"/>
  <c r="C41" i="20"/>
  <c r="B41" i="20"/>
  <c r="C40" i="20"/>
  <c r="B40" i="20"/>
  <c r="C39" i="20"/>
  <c r="B39" i="20"/>
  <c r="C38" i="20"/>
  <c r="B38" i="20"/>
  <c r="C37" i="20"/>
  <c r="B37" i="20"/>
  <c r="C33" i="20"/>
  <c r="B33" i="20"/>
  <c r="C32" i="20"/>
  <c r="B32" i="20"/>
  <c r="C31" i="20"/>
  <c r="B31" i="20"/>
  <c r="C30" i="20"/>
  <c r="B30" i="20"/>
  <c r="C29" i="20"/>
  <c r="B29" i="20"/>
  <c r="C28" i="20"/>
  <c r="B28" i="20"/>
  <c r="C27" i="20"/>
  <c r="B27" i="20"/>
  <c r="C26" i="20"/>
  <c r="B26" i="20"/>
  <c r="C25" i="20"/>
  <c r="B25" i="20"/>
  <c r="C24" i="20"/>
  <c r="B24" i="20"/>
  <c r="C23" i="20"/>
  <c r="B23" i="20"/>
  <c r="C22" i="20"/>
  <c r="B22" i="20"/>
  <c r="C21" i="20"/>
  <c r="B21" i="20"/>
  <c r="C20" i="20"/>
  <c r="B20" i="20"/>
  <c r="C19" i="20"/>
  <c r="B19" i="20"/>
  <c r="C18" i="20"/>
  <c r="B18" i="20"/>
  <c r="C14" i="20"/>
  <c r="D14" i="20" s="1"/>
  <c r="B14" i="20"/>
  <c r="C13" i="20"/>
  <c r="D13" i="20" s="1"/>
  <c r="B13" i="20"/>
  <c r="C12" i="20"/>
  <c r="D12" i="20" s="1"/>
  <c r="B12" i="20"/>
  <c r="C11" i="20"/>
  <c r="D11" i="20" s="1"/>
  <c r="B11" i="20"/>
  <c r="C10" i="20"/>
  <c r="D10" i="20" s="1"/>
  <c r="B10" i="20"/>
  <c r="C9" i="20"/>
  <c r="D9" i="20" s="1"/>
  <c r="B9" i="20"/>
  <c r="H5" i="20"/>
  <c r="G5" i="20"/>
  <c r="F5" i="20"/>
  <c r="E5" i="20"/>
  <c r="D5" i="20"/>
  <c r="C5" i="20"/>
  <c r="B5" i="20"/>
  <c r="A5" i="20"/>
  <c r="U5" i="19"/>
  <c r="Q5" i="19"/>
  <c r="M5" i="19"/>
  <c r="I5" i="19"/>
  <c r="E5" i="19"/>
  <c r="A5" i="19"/>
  <c r="U4" i="19"/>
  <c r="Q4" i="19"/>
  <c r="M4" i="19"/>
  <c r="I4" i="19"/>
  <c r="E4" i="19"/>
  <c r="A4" i="19"/>
  <c r="C39" i="17"/>
  <c r="B39" i="17"/>
  <c r="D39" i="17" s="1"/>
  <c r="D38" i="17"/>
  <c r="D37" i="17"/>
  <c r="D36" i="17"/>
  <c r="D35" i="17"/>
  <c r="D34" i="17"/>
  <c r="D33" i="17"/>
  <c r="D32" i="17"/>
  <c r="D31" i="17"/>
  <c r="F27" i="17"/>
  <c r="E27" i="17"/>
  <c r="F43" i="14"/>
  <c r="E43" i="14"/>
  <c r="F42" i="14"/>
  <c r="E42" i="14"/>
  <c r="F41" i="14"/>
  <c r="E41" i="14"/>
  <c r="F40" i="14"/>
  <c r="E40" i="14"/>
  <c r="F39" i="14"/>
  <c r="E39" i="14"/>
  <c r="F38" i="14"/>
  <c r="E38" i="14"/>
  <c r="F37" i="14"/>
  <c r="E37" i="14"/>
  <c r="F36" i="14"/>
  <c r="E36" i="14"/>
  <c r="F35" i="14"/>
  <c r="E35" i="14"/>
  <c r="F34" i="14"/>
  <c r="E34" i="14"/>
  <c r="D21" i="14"/>
  <c r="D20" i="14"/>
  <c r="K17" i="14"/>
  <c r="J17" i="14"/>
  <c r="I17" i="14"/>
  <c r="D22" i="21" s="1"/>
  <c r="E17" i="14"/>
  <c r="K16" i="14"/>
  <c r="J16" i="14"/>
  <c r="I16" i="14"/>
  <c r="D21" i="21" s="1"/>
  <c r="E16" i="14"/>
  <c r="K15" i="14"/>
  <c r="J15" i="14"/>
  <c r="I15" i="14"/>
  <c r="D20" i="21" s="1"/>
  <c r="E15" i="14"/>
  <c r="K14" i="14"/>
  <c r="J14" i="14"/>
  <c r="I14" i="14"/>
  <c r="D19" i="21" s="1"/>
  <c r="E14" i="14"/>
  <c r="K13" i="14"/>
  <c r="J13" i="14"/>
  <c r="I13" i="14"/>
  <c r="D18" i="21" s="1"/>
  <c r="E13" i="14"/>
  <c r="K12" i="14"/>
  <c r="J12" i="14"/>
  <c r="I12" i="14"/>
  <c r="D17" i="21" s="1"/>
  <c r="E12" i="14"/>
  <c r="K11" i="14"/>
  <c r="J11" i="14"/>
  <c r="I11" i="14"/>
  <c r="D16" i="21" s="1"/>
  <c r="E11" i="14"/>
  <c r="K10" i="14"/>
  <c r="J10" i="14"/>
  <c r="I10" i="14"/>
  <c r="D15" i="21" s="1"/>
  <c r="E10" i="14"/>
  <c r="L9" i="14"/>
  <c r="K9" i="14"/>
  <c r="J9" i="14"/>
  <c r="I9" i="14"/>
  <c r="E9" i="14"/>
  <c r="K8" i="14"/>
  <c r="J8" i="14"/>
  <c r="I8" i="14"/>
  <c r="D13" i="21" s="1"/>
  <c r="E8" i="14"/>
  <c r="K7" i="14"/>
  <c r="J7" i="14"/>
  <c r="I7" i="14"/>
  <c r="D12" i="21" s="1"/>
  <c r="E7" i="14"/>
  <c r="K6" i="14"/>
  <c r="E11" i="21" s="1"/>
  <c r="J6" i="14"/>
  <c r="D23" i="14" s="1"/>
  <c r="D29" i="14" s="1"/>
  <c r="I6" i="14"/>
  <c r="E6" i="14"/>
  <c r="O19" i="13"/>
  <c r="L18" i="13"/>
  <c r="L17" i="13"/>
  <c r="K12" i="13"/>
  <c r="K13" i="13" s="1"/>
  <c r="J12" i="13"/>
  <c r="J13" i="13" s="1"/>
  <c r="I12" i="13"/>
  <c r="I13" i="13" s="1"/>
  <c r="H12" i="13"/>
  <c r="H13" i="13" s="1"/>
  <c r="G12" i="13"/>
  <c r="G13" i="13" s="1"/>
  <c r="F12" i="13"/>
  <c r="F13" i="13" s="1"/>
  <c r="E12" i="13"/>
  <c r="E13" i="13" s="1"/>
  <c r="D12" i="13"/>
  <c r="D13" i="13" s="1"/>
  <c r="C12" i="13"/>
  <c r="C13" i="13" s="1"/>
  <c r="B12" i="13"/>
  <c r="K10" i="13"/>
  <c r="J10" i="13"/>
  <c r="I10" i="13"/>
  <c r="H10" i="13"/>
  <c r="G10" i="13"/>
  <c r="L10" i="13" s="1"/>
  <c r="F10" i="13"/>
  <c r="E10" i="13"/>
  <c r="D10" i="13"/>
  <c r="C10" i="13"/>
  <c r="B10" i="13"/>
  <c r="K9" i="13"/>
  <c r="J9" i="13"/>
  <c r="I9" i="13"/>
  <c r="H9" i="13"/>
  <c r="G9" i="13"/>
  <c r="F9" i="13"/>
  <c r="E9" i="13"/>
  <c r="D9" i="13"/>
  <c r="C9" i="13"/>
  <c r="B9" i="13"/>
  <c r="L9" i="13" s="1"/>
  <c r="K8" i="13"/>
  <c r="J8" i="13"/>
  <c r="I8" i="13"/>
  <c r="H8" i="13"/>
  <c r="G8" i="13"/>
  <c r="F8" i="13"/>
  <c r="E8" i="13"/>
  <c r="D8" i="13"/>
  <c r="C8" i="13"/>
  <c r="B8" i="13"/>
  <c r="L8" i="13" s="1"/>
  <c r="K6" i="13"/>
  <c r="J6" i="13"/>
  <c r="I6" i="13"/>
  <c r="H6" i="13"/>
  <c r="G6" i="13"/>
  <c r="F6" i="13"/>
  <c r="E6" i="13"/>
  <c r="D6" i="13"/>
  <c r="C6" i="13"/>
  <c r="B6" i="13"/>
  <c r="L6" i="13" s="1"/>
  <c r="K5" i="13"/>
  <c r="J5" i="13"/>
  <c r="I5" i="13"/>
  <c r="H5" i="13"/>
  <c r="G5" i="13"/>
  <c r="F5" i="13"/>
  <c r="E5" i="13"/>
  <c r="D5" i="13"/>
  <c r="C5" i="13"/>
  <c r="B5" i="13"/>
  <c r="L17" i="14" l="1"/>
  <c r="E22" i="21"/>
  <c r="L16" i="14"/>
  <c r="E21" i="21"/>
  <c r="E20" i="21"/>
  <c r="L15" i="14"/>
  <c r="E19" i="21"/>
  <c r="L14" i="14"/>
  <c r="E18" i="21"/>
  <c r="L13" i="14"/>
  <c r="E17" i="21"/>
  <c r="L12" i="14"/>
  <c r="E16" i="21"/>
  <c r="L11" i="14"/>
  <c r="E15" i="21"/>
  <c r="L10" i="14"/>
  <c r="L8" i="14"/>
  <c r="E13" i="21"/>
  <c r="E12" i="21"/>
  <c r="L7" i="14"/>
  <c r="D22" i="14"/>
  <c r="D30" i="14" s="1"/>
  <c r="D11" i="21"/>
  <c r="D26" i="21" s="1"/>
  <c r="O20" i="13"/>
  <c r="G7" i="13"/>
  <c r="G11" i="13" s="1"/>
  <c r="G14" i="13" s="1"/>
  <c r="E7" i="13"/>
  <c r="E11" i="13" s="1"/>
  <c r="E14" i="13" s="1"/>
  <c r="C7" i="13"/>
  <c r="C11" i="13" s="1"/>
  <c r="C14" i="13" s="1"/>
  <c r="J7" i="13"/>
  <c r="J11" i="13" s="1"/>
  <c r="J14" i="13" s="1"/>
  <c r="I7" i="13"/>
  <c r="I11" i="13" s="1"/>
  <c r="I14" i="13" s="1"/>
  <c r="H7" i="13"/>
  <c r="H11" i="13" s="1"/>
  <c r="H14" i="13" s="1"/>
  <c r="F7" i="13"/>
  <c r="F11" i="13" s="1"/>
  <c r="F14" i="13" s="1"/>
  <c r="D7" i="13"/>
  <c r="D11" i="13" s="1"/>
  <c r="D14" i="13" s="1"/>
  <c r="B7" i="13"/>
  <c r="K7" i="13"/>
  <c r="K11" i="13" s="1"/>
  <c r="K14" i="13" s="1"/>
  <c r="B13" i="13"/>
  <c r="L13" i="13" s="1"/>
  <c r="L12" i="13"/>
  <c r="B11" i="13"/>
  <c r="L5" i="13"/>
  <c r="B16" i="13" l="1"/>
  <c r="C16" i="13"/>
  <c r="C19" i="13" s="1"/>
  <c r="D16" i="13"/>
  <c r="D19" i="13" s="1"/>
  <c r="E16" i="13"/>
  <c r="E19" i="13" s="1"/>
  <c r="F16" i="13"/>
  <c r="F19" i="13" s="1"/>
  <c r="G16" i="13"/>
  <c r="G19" i="13" s="1"/>
  <c r="H16" i="13"/>
  <c r="H19" i="13" s="1"/>
  <c r="I16" i="13"/>
  <c r="I19" i="13" s="1"/>
  <c r="J16" i="13"/>
  <c r="J19" i="13" s="1"/>
  <c r="K16" i="13"/>
  <c r="K19" i="13" s="1"/>
  <c r="L11" i="13"/>
  <c r="B14" i="13"/>
  <c r="L14" i="13" s="1"/>
  <c r="L7" i="13"/>
  <c r="L16" i="13" l="1"/>
  <c r="B19" i="13"/>
  <c r="C21" i="13"/>
  <c r="C22" i="13" s="1"/>
  <c r="C35" i="14"/>
  <c r="C31" i="21"/>
  <c r="D21" i="13"/>
  <c r="D22" i="13" s="1"/>
  <c r="C36" i="14"/>
  <c r="C32" i="21"/>
  <c r="E21" i="13"/>
  <c r="E22" i="13" s="1"/>
  <c r="C37" i="14"/>
  <c r="C33" i="21"/>
  <c r="F21" i="13"/>
  <c r="F22" i="13" s="1"/>
  <c r="C34" i="21"/>
  <c r="C38" i="14"/>
  <c r="G21" i="13"/>
  <c r="G22" i="13" s="1"/>
  <c r="C35" i="21"/>
  <c r="C39" i="14"/>
  <c r="H21" i="13"/>
  <c r="H22" i="13" s="1"/>
  <c r="C40" i="14"/>
  <c r="C36" i="21"/>
  <c r="I21" i="13"/>
  <c r="I22" i="13" s="1"/>
  <c r="C41" i="14"/>
  <c r="C37" i="21"/>
  <c r="J21" i="13"/>
  <c r="J22" i="13" s="1"/>
  <c r="C38" i="21"/>
  <c r="C42" i="14"/>
  <c r="K21" i="13"/>
  <c r="K22" i="13" s="1"/>
  <c r="C43" i="14"/>
  <c r="C39" i="21"/>
  <c r="L19" i="13" l="1"/>
  <c r="B21" i="13"/>
  <c r="C34" i="14"/>
  <c r="C30" i="21"/>
  <c r="D35" i="14"/>
  <c r="D31" i="21"/>
  <c r="D36" i="14"/>
  <c r="D32" i="21"/>
  <c r="D33" i="21"/>
  <c r="D37" i="14"/>
  <c r="D38" i="14"/>
  <c r="D34" i="21"/>
  <c r="D39" i="14"/>
  <c r="D35" i="21"/>
  <c r="D36" i="21"/>
  <c r="D40" i="14"/>
  <c r="D41" i="14"/>
  <c r="D37" i="21"/>
  <c r="D38" i="21"/>
  <c r="D42" i="14"/>
  <c r="D43" i="14"/>
  <c r="D39" i="21"/>
  <c r="L21" i="13" l="1"/>
  <c r="B22" i="13"/>
  <c r="L22" i="13" l="1"/>
  <c r="B24" i="13" s="1"/>
  <c r="D34" i="14"/>
  <c r="D30" i="21"/>
  <c r="B25" i="13" l="1"/>
  <c r="D26" i="14"/>
  <c r="A26" i="21"/>
  <c r="B27" i="13" l="1"/>
  <c r="D27" i="14"/>
  <c r="B26" i="21"/>
  <c r="D28" i="14" l="1"/>
  <c r="C26" i="21"/>
</calcChain>
</file>

<file path=xl/sharedStrings.xml><?xml version="1.0" encoding="utf-8"?>
<sst xmlns="http://schemas.openxmlformats.org/spreadsheetml/2006/main" count="5352" uniqueCount="2345">
  <si>
    <t>Oracle Alumni Network Portal - Project Plan (CPMAI)</t>
  </si>
  <si>
    <t>Cognitive Project Management for AI  |  Business &gt; Data &gt; Modeling &gt; Evaluation &gt; Deployment &gt; Monitoring</t>
  </si>
  <si>
    <t>CPMAI Golden Rule: AI Success = Business + Data + Technology + Adoption    |    Portal Adaptation: Business + Data + Design + Adoption</t>
  </si>
  <si>
    <t>Document control</t>
  </si>
  <si>
    <t>Project / Program Name</t>
  </si>
  <si>
    <t>Oracle Alumni Network Portal - Creation</t>
  </si>
  <si>
    <t>Client / Organization</t>
  </si>
  <si>
    <t>Oracle</t>
  </si>
  <si>
    <t>Executive Sponsor (CXO)</t>
  </si>
  <si>
    <t>[Executive Sponsor - CXO]</t>
  </si>
  <si>
    <t>Project Manager</t>
  </si>
  <si>
    <t>[Project Manager]</t>
  </si>
  <si>
    <t>Product Owner / Design Lead</t>
  </si>
  <si>
    <t>[Product Owner / Design Lead]</t>
  </si>
  <si>
    <t>Source Board</t>
  </si>
  <si>
    <t>OAN Portal Delivery Board (Plan V3.2, iteration 9, 13 Oct 2026) + APEX Build Pack V1.1 (Q31) + Functional Specification v1.1</t>
  </si>
  <si>
    <t>Application / Stack</t>
  </si>
  <si>
    <t>Oracle APEX 26.1.5 on dev (Q32); ORDS; OAN_APP workspace</t>
  </si>
  <si>
    <t>Plan Scope</t>
  </si>
  <si>
    <t>16 sprints S0-S15 - 11 gates - 154 tracked tasks - 319.75 pd (before 20% contingency)</t>
  </si>
  <si>
    <t>Delivery Window</t>
  </si>
  <si>
    <t>19 Oct 2026 (S0) to 28 May 2027 (end S15)</t>
  </si>
  <si>
    <t>Document Reference</t>
  </si>
  <si>
    <t>OAN-PLAN-V3.2</t>
  </si>
  <si>
    <t>Version</t>
  </si>
  <si>
    <t>3.2</t>
  </si>
  <si>
    <t>Status</t>
  </si>
  <si>
    <t>Baseline for CXO review</t>
  </si>
  <si>
    <t>Last Updated</t>
  </si>
  <si>
    <t>2026-10-13</t>
  </si>
  <si>
    <t>Classification</t>
  </si>
  <si>
    <t>[Internal / Confidential]</t>
  </si>
  <si>
    <t>Frameworks applied</t>
  </si>
  <si>
    <t>CPMAI - Cognitive Project Management for AI (PMI): Business Understanding &gt; Data Understanding &gt; Modeling &gt; Evaluation &gt; Deployment &gt; Monitoring</t>
  </si>
  <si>
    <t>Spec-Driven Development (SDD): the Functional Specification v1.1 and APEX Build Pack V1.1 are the governing specs; the build follows Build Pack wave order (Q31) with Build Pack page numbers</t>
  </si>
  <si>
    <t>Delivery board discipline: 16 sprints S0-S15, 11 gates incl. go-live 8.0, 154 tracked tasks, velocity-based capacity with a 20% contingency</t>
  </si>
  <si>
    <t>Build options are gated: each option (AI assistant, channels, Careers feed) is built in DEV and switched on in PROD only after its DPIA annex and external agreement (G-AI, G-CH, G-CF)</t>
  </si>
  <si>
    <t>Priority tiers P0-P4 from docs/05-flow-priority.md: P0 and P1 are never cut; the S11 descope lane cuts from P4 upward</t>
  </si>
  <si>
    <t>Scope decisions applied: no Oracle HR brokering (Q29), no Oracle logos (Q30)</t>
  </si>
  <si>
    <t>Responsible AI / privacy gate: Legal - Ethical - Secure - Explainable - Valuable (alumni PII, consent and a DPIA per option)</t>
  </si>
  <si>
    <t>Oracle brand foundations: Oracle Red #C74634 - Ink #201E1C - Charcoal #312D2A - Canvas #FCFBFA</t>
  </si>
  <si>
    <t>WCAG 2.2 AA accessibility target across all screens and 4 breakpoints</t>
  </si>
  <si>
    <t>RACI / RASCI accountability, RAID log discipline and an explicit gate checklist</t>
  </si>
  <si>
    <t>Baseline: OAN Portal Delivery Board, Plan V3.2 / iteration 9 (13 Oct 2026) - 16 sprints S0-S15, 11 gates, 154 tracked tasks, 319.75 pd. Governing specs: Functional Specification v1.1 and APEX Build Pack V1.1 (Q31). Stack: APEX 26.1.5 on dev (Q32), ORDS. Frameworks: CPMAI (PMI) and Spec-Driven Development.</t>
  </si>
  <si>
    <t>ReadMe - How to use this workbook</t>
  </si>
  <si>
    <t>Purpose, tab guide, CPMAI reference, and the keys and definitions used throughout.</t>
  </si>
  <si>
    <t>Purpose</t>
  </si>
  <si>
    <t>This workbook is the single planning and governance control point for the Oracle Alumni Network Portal. It is aligned to the OAN Portal Delivery Board (Plan V3.2, iteration 9, 13 Oct 2026): 16 sprints S0-S15, 11 gates including go-live 8.0, 154 tracked tasks and 319.75 pd of development estimate before the 20% contingency.</t>
  </si>
  <si>
    <t>How to use</t>
  </si>
  <si>
    <t>1) Confirm the Delivery Board and Gate Checklist. 2) Work the Kanban Board sprint by sprint. 3) Close each gate before the next stage. 4) Plan capacity on the Sprint Capacity Planner and log actuals weekly. 5) Review RAID weekly. 6) Report value at the Steering Committee using the KPI Dashboard.</t>
  </si>
  <si>
    <t>Sprint cadence</t>
  </si>
  <si>
    <t>Setup and design run in S0 (19-30 Oct 2026); build runs S1-S11 in Build Pack wave order (Q31); S12-S13 cover hardening, UAT, go-live; S14-S15 cover the pilot, hypercare and handover. Capacity per sprint is planned on the Sprint Capacity Planner and every closed sprint is logged on the Sprint Performance Tracker.</t>
  </si>
  <si>
    <t>Update cadence</t>
  </si>
  <si>
    <t>Plan and board: weekly and at every gate. Sprint Performance Tracker: at each sprint close. Gate Checklist: per gate. KPI Dashboard and Success Plan: monthly. RAID Log: weekly. Artefact Register: on every artefact version change.</t>
  </si>
  <si>
    <t>Golden Rule</t>
  </si>
  <si>
    <t>Source of truth</t>
  </si>
  <si>
    <t>The attached OAN Portal Delivery Board defines the plan baseline: S0 19-30 Oct 2026 to S15 17-28 May 2027, 11 gates (G0, G1, G-RB, G-AI, G-CH, G-CF, G2, G3, G4, G5, 8.0), 154 tracked tasks and 319.75 pd. Card status comes from task_plan.md in the GitHub repository.</t>
  </si>
  <si>
    <t>Tab guide</t>
  </si>
  <si>
    <t>Tab</t>
  </si>
  <si>
    <t>What it is for</t>
  </si>
  <si>
    <t>Owner</t>
  </si>
  <si>
    <t>Cover</t>
  </si>
  <si>
    <t>Document control, the plan baseline and the frameworks applied.</t>
  </si>
  <si>
    <t>PM</t>
  </si>
  <si>
    <t>ReadMe</t>
  </si>
  <si>
    <t>Purpose, tab guide, CPMAI reference, keys and definitions.</t>
  </si>
  <si>
    <t>Lifecycle Roadmap</t>
  </si>
  <si>
    <t>The CPMAI phases mapped to the 16 sprints S0-S15 and the 11 board gates.</t>
  </si>
  <si>
    <t>PM / Product Owner</t>
  </si>
  <si>
    <t>Setup &amp; Design Plan</t>
  </si>
  <si>
    <t>Setup and design work inside the S0-S1 window (19 Oct - 13 Nov 2026), feeding gate G0.</t>
  </si>
  <si>
    <t>CXO Governance</t>
  </si>
  <si>
    <t>Governance bodies, decision rights, cadence, escalation and the CXO decision log.</t>
  </si>
  <si>
    <t>Executive Sponsor</t>
  </si>
  <si>
    <t>Success Plan</t>
  </si>
  <si>
    <t>Goals and measures of success, success criteria, adoption plan and benefits realisation.</t>
  </si>
  <si>
    <t>Product Owner</t>
  </si>
  <si>
    <t>Change &amp; Adoption</t>
  </si>
  <si>
    <t>Change strategy, stakeholder analysis, impact assessment, comms plan, training plan and ADKAR readiness tracker.</t>
  </si>
  <si>
    <t>Change &amp; Comms Lead</t>
  </si>
  <si>
    <t>Value Stream Map</t>
  </si>
  <si>
    <t>As-is alumni engagement value stream, flow efficiency, pain points and opportunities by stage.</t>
  </si>
  <si>
    <t>UX Lead / Product Owner</t>
  </si>
  <si>
    <t>KPI Dashboard</t>
  </si>
  <si>
    <t>Reconnect, re-engage, re-hire, self-serve, quality, delivery and board-delivery KPIs with baselines and targets.</t>
  </si>
  <si>
    <t>RACI Matrix</t>
  </si>
  <si>
    <t>Accountability for every activity across all roles, including the sprint and gate activities.</t>
  </si>
  <si>
    <t>RAID Log</t>
  </si>
  <si>
    <t>Risks, Assumptions, Issues and Dependencies aligned to the board - G0 blockers, gated options, descope lane.</t>
  </si>
  <si>
    <t>PM / Risk Owner</t>
  </si>
  <si>
    <t>Artefact Register</t>
  </si>
  <si>
    <t>Every programme artefact including the delivery board and dashboards, with version, owner and status.</t>
  </si>
  <si>
    <t>Sprint Roadmap</t>
  </si>
  <si>
    <t>The 16 sprints S0-S15 and the 11 gates - what each sprint delivers and its gate.</t>
  </si>
  <si>
    <t>Scrum Master / Delivery Lead</t>
  </si>
  <si>
    <t>Sprint Capacity Planner</t>
  </si>
  <si>
    <t>Velocity-based capacity model for the current sprint with a planning-risk buffer.</t>
  </si>
  <si>
    <t>Sprint Performance Tracker</t>
  </si>
  <si>
    <t>Closed-sprint log with completion, utilisation, 3-sprint trend and next-sprint forecast.</t>
  </si>
  <si>
    <t>Delivery Board</t>
  </si>
  <si>
    <t>The 16 sprints and 11 gates from the attached board with dates, scope, task counts, dev pd and gate alignment.</t>
  </si>
  <si>
    <t>PMO / Delivery Lead</t>
  </si>
  <si>
    <t>Gate Checklist</t>
  </si>
  <si>
    <t>Every gate, its due date, status and pass condition - G0 to G5 plus the gated build options and go-live 8.0.</t>
  </si>
  <si>
    <t>PMO / Product Owner</t>
  </si>
  <si>
    <t>Board Tasks</t>
  </si>
  <si>
    <t>The tracked card list (id, task, category, dev pd, priority tier, status) that drives the Kanban Board and Dashboard.</t>
  </si>
  <si>
    <t>Kanban Board</t>
  </si>
  <si>
    <t>One card per work item in the six board status columns, with card count and dev pd per column.</t>
  </si>
  <si>
    <t>Kanban Dashboard</t>
  </si>
  <si>
    <t>Flow metrics: cards and dev effort by status, by category and by priority tier, with charts.</t>
  </si>
  <si>
    <t>Sprint Planner Dashboard</t>
  </si>
  <si>
    <t>Capacity and performance charts ported from the attached Sprint Capacity Planner and linked to the sprint tabs.</t>
  </si>
  <si>
    <t>The 16 sprints S0-S15 and 11 gates from the attached delivery board, with dates, scope, task counts, dev effort and gate alignment.</t>
  </si>
  <si>
    <t>Every gate, its due date, status and pass condition - G0 through G5 plus the gated build options (G-AI, G-CH, G-CF), re-baseline (G-RB) and go-live 8.0.</t>
  </si>
  <si>
    <t>Visual delivery board - one card per work item in the six status columns of the attached board, with card count and dev pd per column.</t>
  </si>
  <si>
    <t>The tracked card list (id, task, category, dev pd, priority tier, status) that drives the Kanban Board and Kanban Dashboard.</t>
  </si>
  <si>
    <t>Live flow metrics: cards and dev effort by status, by category and by priority tier, with charts.</t>
  </si>
  <si>
    <t>Capacity and performance charts ported from the attached Sprint Capacity Planner &amp; Performance Tracker.xlsx, linked to the sprint tabs.</t>
  </si>
  <si>
    <t>Status Report</t>
  </si>
  <si>
    <t>Live project status as of 15 Oct 2026 (iteration 23): progress, board status distribution, workstream progress, decisions needed and next steps.</t>
  </si>
  <si>
    <t>Product Owner / PMO</t>
  </si>
  <si>
    <t>Delivered Pages</t>
  </si>
  <si>
    <t>The 73 pages already live on dev, grouped by area.</t>
  </si>
  <si>
    <t>Delivery Lead</t>
  </si>
  <si>
    <t>CI-CD Pipeline</t>
  </si>
  <si>
    <t>The four pipeline stages, the pipeline items and their state, and the manual dev deploy.</t>
  </si>
  <si>
    <t>DevOps / Delivery Lead</t>
  </si>
  <si>
    <t>CPMAI lifecycle - quick reference</t>
  </si>
  <si>
    <t>#</t>
  </si>
  <si>
    <t>CPMAI Phase</t>
  </si>
  <si>
    <t>Core Question</t>
  </si>
  <si>
    <t>What it means</t>
  </si>
  <si>
    <t>1</t>
  </si>
  <si>
    <t>Business Understanding</t>
  </si>
  <si>
    <t>Why are we doing this?</t>
  </si>
  <si>
    <t>Anchor the portal to Reconnect, Re-engage, Re-hire and Self-serve; scope confirmed at G1 (end S2).</t>
  </si>
  <si>
    <t>2</t>
  </si>
  <si>
    <t>Data Understanding</t>
  </si>
  <si>
    <t>Do we have usable data?</t>
  </si>
  <si>
    <t>Alumni profile data, directory fields, content library, privacy and consent; re-baselined at G-RB (end S2).</t>
  </si>
  <si>
    <t>3</t>
  </si>
  <si>
    <t>Modeling</t>
  </si>
  <si>
    <t>Can we build it?</t>
  </si>
  <si>
    <t>Design system, 8 core screens and prototype in S0, then Build Pack waves W0-W5 across S1-S7, with gated options at G-AI, G-CH and G-CF.</t>
  </si>
  <si>
    <t>4</t>
  </si>
  <si>
    <t>Evaluation</t>
  </si>
  <si>
    <t>Does it work well enough?</t>
  </si>
  <si>
    <t>Usability test with 5 alumni (FR-34), load test, WCAG 2.2 AA audit, security test and full UAT across S8-S12; signed at G4 and G5.</t>
  </si>
  <si>
    <t>5</t>
  </si>
  <si>
    <t>Deployment</t>
  </si>
  <si>
    <t>Will people actually use it?</t>
  </si>
  <si>
    <t>PROD provision and release in S13, after the 18-check go-live gate 8.0.</t>
  </si>
  <si>
    <t>6</t>
  </si>
  <si>
    <t>Monitoring</t>
  </si>
  <si>
    <t>Is it still creating value?</t>
  </si>
  <si>
    <t>Pilot with ~50 members and every staff role in S14, then two weeks of hypercare and handover in S15.</t>
  </si>
  <si>
    <t>RACI key (RASCI)</t>
  </si>
  <si>
    <t>Code</t>
  </si>
  <si>
    <t>Role</t>
  </si>
  <si>
    <t>Meaning</t>
  </si>
  <si>
    <t>R</t>
  </si>
  <si>
    <t>Responsible</t>
  </si>
  <si>
    <t>Does the work. At least one per activity.</t>
  </si>
  <si>
    <t>A</t>
  </si>
  <si>
    <t>Accountable</t>
  </si>
  <si>
    <t>Owns the outcome and the final decision. Exactly one per activity.</t>
  </si>
  <si>
    <t>C</t>
  </si>
  <si>
    <t>Consulted</t>
  </si>
  <si>
    <t>Provides input before the work is finalised (two-way).</t>
  </si>
  <si>
    <t>I</t>
  </si>
  <si>
    <t>Informed</t>
  </si>
  <si>
    <t>Kept up to date on progress or decisions (one-way).</t>
  </si>
  <si>
    <t>S</t>
  </si>
  <si>
    <t>Support</t>
  </si>
  <si>
    <t>Assists or provides resources to the Responsible party (RASCI extension).</t>
  </si>
  <si>
    <t>RAG status key</t>
  </si>
  <si>
    <t>G</t>
  </si>
  <si>
    <t>Green</t>
  </si>
  <si>
    <t>On track - no action required.</t>
  </si>
  <si>
    <t>Amber</t>
  </si>
  <si>
    <t>At risk - corrective action defined and being executed.</t>
  </si>
  <si>
    <t>Red</t>
  </si>
  <si>
    <t>Off track - escalation required to the Steering Committee.</t>
  </si>
  <si>
    <t>RAID key</t>
  </si>
  <si>
    <t>Type</t>
  </si>
  <si>
    <t>Risk</t>
  </si>
  <si>
    <t>A future event that may occur and would harm the project. Has probability and impact.</t>
  </si>
  <si>
    <t>Assumption</t>
  </si>
  <si>
    <t>Something taken as true without proof; must be validated or it becomes a risk.</t>
  </si>
  <si>
    <t>Issue</t>
  </si>
  <si>
    <t>A problem that has already occurred and needs resolution now.</t>
  </si>
  <si>
    <t>D</t>
  </si>
  <si>
    <t>Dependency</t>
  </si>
  <si>
    <t>An external deliverable, decision or event the project relies on.</t>
  </si>
  <si>
    <t>CPMAI Lifecycle Roadmap - Oracle Alumni Network Portal</t>
  </si>
  <si>
    <t>The CPMAI phases mapped to the 16 sprints S0-S15 and the 11 board gates. Each phase answers one question and must clear its exit criteria before the next begins.</t>
  </si>
  <si>
    <t>Phase #</t>
  </si>
  <si>
    <t>Objective</t>
  </si>
  <si>
    <t>Key Activities</t>
  </si>
  <si>
    <t>Key Deliverable / Gate</t>
  </si>
  <si>
    <t>Exit Criteria</t>
  </si>
  <si>
    <t>Duration (wks)</t>
  </si>
  <si>
    <t>Governance Touchpoint</t>
  </si>
  <si>
    <t>0</t>
  </si>
  <si>
    <t>Setup &amp; Mobilisation - S0 (19-30 Oct 2026)</t>
  </si>
  <si>
    <t>Is the toolchain and team ready?</t>
  </si>
  <si>
    <t>Stand up the toolchain, close the G0 blockers and confirm governance, funding and staffing.</t>
  </si>
  <si>
    <t>Node, JDK 21 and SQLcl toolchain; dev ADB on APEX 26.1.5 (Q32); ADMIN bootstrap; OIDC client; workspace probe; secrets register; spike results.</t>
  </si>
  <si>
    <t>G0 - Setup gate (end S0)</t>
  </si>
  <si>
    <t>Toolchain validated; dev ADB and workspace OAN_APP ready; ADMIN bootstrap run; G0 open items closed.</t>
  </si>
  <si>
    <t>PM / Delivery Lead</t>
  </si>
  <si>
    <t>Steering Committee (S0 review)</t>
  </si>
  <si>
    <t>Business Understanding - S0 to S2</t>
  </si>
  <si>
    <t>Anchor the portal to Reconnect, Re-engage, Re-hire and Self-serve, and sign off scope and acceptance criteria.</t>
  </si>
  <si>
    <t>Content inventory and owner; scope and Must/Should/Could baseline; IA and navigation; privacy approach; traceability tagging.</t>
  </si>
  <si>
    <t>G1 - Scope and AC sign-off (end S2)</t>
  </si>
  <si>
    <t>Product owner signs off the Must/Should/Could AC list; content owner named.</t>
  </si>
  <si>
    <t>4-6</t>
  </si>
  <si>
    <t>Steering Committee + Privacy &amp; Compliance Board</t>
  </si>
  <si>
    <t>Data Understanding - S1 to S2</t>
  </si>
  <si>
    <t>Land the database baseline, confirm data sources and privacy, then re-baseline velocity.</t>
  </si>
  <si>
    <t>DDL across identity, profile, chapters, content and ops; personal-data registry; seed reference data; audit and visibility; directory index; utPLSQL suites.</t>
  </si>
  <si>
    <t>G-RB - Re-baseline (end S2)</t>
  </si>
  <si>
    <t>Measured S1-S2 velocity and offline-rework actuals compared to plan; descope lane invoked if &lt; 20 pd per sprint.</t>
  </si>
  <si>
    <t>Data / Privacy Officer</t>
  </si>
  <si>
    <t>Privacy &amp; Compliance Board + PMO stand-up</t>
  </si>
  <si>
    <t>Modeling - S1 to S7 (Build Pack waves W0-W5)</t>
  </si>
  <si>
    <t>Build the design system and interface in Build Pack wave order with Build Pack page numbers (Q31).</t>
  </si>
  <si>
    <t>W0 auth and admin; W1 shell and Home; W2 profile, directory, CV and work profile; W3 content and events; W4 messaging and channels; W5 jobs, helpdesk and organisations.</t>
  </si>
  <si>
    <t>G-AI (end S3), G-CH (end S6), G-CF (end S7)</t>
  </si>
  <si>
    <t>Each gated option passes its DPIA annex and external agreement before it is switched on in PROD.</t>
  </si>
  <si>
    <t>10-12</t>
  </si>
  <si>
    <t>UX Lead / Solution Architect</t>
  </si>
  <si>
    <t>Design Authority + Compliance Board</t>
  </si>
  <si>
    <t>Evaluation - S8 to S12</t>
  </si>
  <si>
    <t>Prove usability, accessibility, security, performance and compliance against targets.</t>
  </si>
  <si>
    <t>Build packs W5-W7; 100k directory smoke test and full load test on temporary ADB; security test (ZAP); WCAG 2.2 AA audit; J-01..J-21 regression; UAT by role.</t>
  </si>
  <si>
    <t>G2 (end S8), G3 (end S10), G4 and G5 (end S12)</t>
  </si>
  <si>
    <t>Region decided and load-test ADB booked; staff roles named with 2-step verification; compliance complete; final UAT signed.</t>
  </si>
  <si>
    <t>10</t>
  </si>
  <si>
    <t>QA Lead / Product Owner</t>
  </si>
  <si>
    <t>Steering Committee (go / no-go)</t>
  </si>
  <si>
    <t>Deployment - S13 (19-30 Apr 2027)</t>
  </si>
  <si>
    <t>Provision PROD, rehearse the deploy and go live against the 18-check gate.</t>
  </si>
  <si>
    <t>Provision PROD and rehearsed deploy; seed chapters and attested admins; load legal texts; go-live checklist, rollback and smoke test.</t>
  </si>
  <si>
    <t>8.0 - Go-live gate (S13)</t>
  </si>
  <si>
    <t>All 18 checks pass: DPIA per option, secrets, ORDS exposure and every Must acceptance criterion.</t>
  </si>
  <si>
    <t>Delivery / Engineering Lead</t>
  </si>
  <si>
    <t>Steering Committee + Brand Review Board</t>
  </si>
  <si>
    <t>Monitoring - S14 and S15 (and beyond)</t>
  </si>
  <si>
    <t>Pilot with real members, then hypercare, handover and value tracking.</t>
  </si>
  <si>
    <t>Pilot with ~50 members, every staff role and &gt;= 3 partner organisations; two weeks of hypercare; handover and v1.x backlog; KPI baseline plan.</t>
  </si>
  <si>
    <t>Pilot (S14); hypercare and handover (S15)</t>
  </si>
  <si>
    <t>Pilot validated; exit review kicked off; KPI baseline plan issued for go-live plus 3 months.</t>
  </si>
  <si>
    <t>4 + ongoing</t>
  </si>
  <si>
    <t>Steering Committee (quarterly value review)</t>
  </si>
  <si>
    <t>Responsible AI gate applies at every phase: Is it Legal? Ethical? Secure? Explainable? Valuable?  Without trust there is no scale.</t>
  </si>
  <si>
    <t>Setup &amp; Design Plan - S0 (19-30 Oct 2026) and S1 (2-13 Nov 2026)</t>
  </si>
  <si>
    <t>Built from the delivery board: the 24 S0 setup tasks (toolchain, spikes, migrations) and the 20 S1 database-baseline tasks. Working days only; 'x' marks the planned working days. S0 closes gate G0; S1 delivers the first shared database deploy and feeds G1 and G-RB.</t>
  </si>
  <si>
    <t>Board task detail (S0 + S1)</t>
  </si>
  <si>
    <t>S0  |  19-30 Oct 2026</t>
  </si>
  <si>
    <t>S1  |  2-13 Nov 2026</t>
  </si>
  <si>
    <t>ID</t>
  </si>
  <si>
    <t>Sprint</t>
  </si>
  <si>
    <t>Category</t>
  </si>
  <si>
    <t>Activity</t>
  </si>
  <si>
    <t>Owner (R)</t>
  </si>
  <si>
    <t>Accountable (A)</t>
  </si>
  <si>
    <t>Dev pd</t>
  </si>
  <si>
    <t>Priority</t>
  </si>
  <si>
    <t>Gate</t>
  </si>
  <si>
    <t>Mon
19 Oct</t>
  </si>
  <si>
    <t>Tue
20 Oct</t>
  </si>
  <si>
    <t>Wed
21 Oct</t>
  </si>
  <si>
    <t>Thu
22 Oct</t>
  </si>
  <si>
    <t>Fri
23 Oct</t>
  </si>
  <si>
    <t>Mon
26 Oct</t>
  </si>
  <si>
    <t>Tue
27 Oct</t>
  </si>
  <si>
    <t>Wed
28 Oct</t>
  </si>
  <si>
    <t>Thu
29 Oct</t>
  </si>
  <si>
    <t>Fri
30 Oct</t>
  </si>
  <si>
    <t>Mon
02 Nov</t>
  </si>
  <si>
    <t>Tue
03 Nov</t>
  </si>
  <si>
    <t>Wed
04 Nov</t>
  </si>
  <si>
    <t>Thu
05 Nov</t>
  </si>
  <si>
    <t>Fri
06 Nov</t>
  </si>
  <si>
    <t>Mon
09 Nov</t>
  </si>
  <si>
    <t>Tue
10 Nov</t>
  </si>
  <si>
    <t>Wed
11 Nov</t>
  </si>
  <si>
    <t>Thu
12 Nov</t>
  </si>
  <si>
    <t>Fri
13 Nov</t>
  </si>
  <si>
    <t>0.1</t>
  </si>
  <si>
    <t>S0</t>
  </si>
  <si>
    <t>Environment</t>
  </si>
  <si>
    <t>Node, JDK 21, SQLcl 26.2 installed</t>
  </si>
  <si>
    <t>Solution Architect</t>
  </si>
  <si>
    <t>0.5</t>
  </si>
  <si>
    <t>P0</t>
  </si>
  <si>
    <t>Done</t>
  </si>
  <si>
    <t>G0</t>
  </si>
  <si>
    <t>x</t>
  </si>
  <si>
    <t>Git repo, layout, .gitignore</t>
  </si>
  <si>
    <t>0.25</t>
  </si>
  <si>
    <t>0.4</t>
  </si>
  <si>
    <t>Workspace probe, deployment files, SQLcl connections</t>
  </si>
  <si>
    <t>0.2</t>
  </si>
  <si>
    <t>Dev ADB (APEX 26.1.5, Q32), synthetic data</t>
  </si>
  <si>
    <t>0.3</t>
  </si>
  <si>
    <t>ADMIN bootstrap: schemas, grants, OAN_CTX, sign-in hosts</t>
  </si>
  <si>
    <t>1.0</t>
  </si>
  <si>
    <t>0.10</t>
  </si>
  <si>
    <t>Spike: APEX version on dev and PROD</t>
  </si>
  <si>
    <t>0.15</t>
  </si>
  <si>
    <t>Secrets register (all secrets, owners, rotation)</t>
  </si>
  <si>
    <t>In progress</t>
  </si>
  <si>
    <t>0.9</t>
  </si>
  <si>
    <t>CI: base-table scan, authz, utPLSQL, gitleaks, validate, page registry, brand</t>
  </si>
  <si>
    <t>2.5</t>
  </si>
  <si>
    <t>0.8</t>
  </si>
  <si>
    <t>utPLSQL on dev</t>
  </si>
  <si>
    <t>0.16a</t>
  </si>
  <si>
    <t>Liquibase changelog (forward-only)</t>
  </si>
  <si>
    <t>1.5</t>
  </si>
  <si>
    <t>Not started</t>
  </si>
  <si>
    <t>0.7</t>
  </si>
  <si>
    <t>OCI Email Delivery + APEX SMTP</t>
  </si>
  <si>
    <t>0.16b</t>
  </si>
  <si>
    <t>Deploy wrapper + live validate gate</t>
  </si>
  <si>
    <t>0.75</t>
  </si>
  <si>
    <t>0.16c</t>
  </si>
  <si>
    <t>Scratch-schema rebuild each sprint</t>
  </si>
  <si>
    <t>0.1b</t>
  </si>
  <si>
    <t>Local Oracle DB Free + utPLSQL (optional)</t>
  </si>
  <si>
    <t>P4</t>
  </si>
  <si>
    <t>0.18</t>
  </si>
  <si>
    <t>Spike: APEX GenAI service</t>
  </si>
  <si>
    <t>0.19</t>
  </si>
  <si>
    <t>Procure Slack app, WhatsApp Business</t>
  </si>
  <si>
    <t>OAN</t>
  </si>
  <si>
    <t>0.6</t>
  </si>
  <si>
    <t>Google OIDC client</t>
  </si>
  <si>
    <t>Blocked</t>
  </si>
  <si>
    <t>0.11</t>
  </si>
  <si>
    <t>Spike: two-schema calls incl. ORDS</t>
  </si>
  <si>
    <t>0.12</t>
  </si>
  <si>
    <t>Spike: social sign-in, switch in session, re-auth</t>
  </si>
  <si>
    <t>0.13</t>
  </si>
  <si>
    <t>Spike: PBKDF2 210k under load</t>
  </si>
  <si>
    <t>0.14</t>
  </si>
  <si>
    <t>Spike: Oracle Text on ADB</t>
  </si>
  <si>
    <t>0.17</t>
  </si>
  <si>
    <t>Spike: webhook HMAC + async job &lt; 1s</t>
  </si>
  <si>
    <t>M.2</t>
  </si>
  <si>
    <t>Migration</t>
  </si>
  <si>
    <t>Groups refactor: forums -&gt; groups / posts / comments</t>
  </si>
  <si>
    <t>3.5</t>
  </si>
  <si>
    <t>P1</t>
  </si>
  <si>
    <t>Authored offline (validated, not live)</t>
  </si>
  <si>
    <t>M.1</t>
  </si>
  <si>
    <t>APEXLang 26.1 -&gt; 26.2 metadata</t>
  </si>
  <si>
    <t>1.1-1.5</t>
  </si>
  <si>
    <t>S1</t>
  </si>
  <si>
    <t>Database</t>
  </si>
  <si>
    <t>DDL: identity, profile, chapters, content, ops</t>
  </si>
  <si>
    <t>7.25</t>
  </si>
  <si>
    <t>G1 / G-RB</t>
  </si>
  <si>
    <t>1.6</t>
  </si>
  <si>
    <t>Personal-data registry + test</t>
  </si>
  <si>
    <t>1.7</t>
  </si>
  <si>
    <t>Seed reference data</t>
  </si>
  <si>
    <t>2.0</t>
  </si>
  <si>
    <t>1.8-1.13</t>
  </si>
  <si>
    <t>Audit, context, visibility macro, views, security, auth packages</t>
  </si>
  <si>
    <t>10.75</t>
  </si>
  <si>
    <t>1.14-1.22</t>
  </si>
  <si>
    <t>Registration, profile, taxonomy, library, files, groups, moderation, notify, privacy</t>
  </si>
  <si>
    <t>15.0</t>
  </si>
  <si>
    <t>1.23</t>
  </si>
  <si>
    <t>Jobs package (fix failure link -&gt; 1075)</t>
  </si>
  <si>
    <t>1.24</t>
  </si>
  <si>
    <t>Text/search split (search_body, directory index)</t>
  </si>
  <si>
    <t>1.25</t>
  </si>
  <si>
    <t>Grants from manifest, synonyms, no-table-grant assert</t>
  </si>
  <si>
    <t>1.26</t>
  </si>
  <si>
    <t>utPLSQL suites (R01, R16, R19/20, R26, secrets)</t>
  </si>
  <si>
    <t>4.0</t>
  </si>
  <si>
    <t>1.27</t>
  </si>
  <si>
    <t>Throttle package</t>
  </si>
  <si>
    <t>1.29</t>
  </si>
  <si>
    <t>Traceability + Must/Should/Could AC tags (feeds G1)</t>
  </si>
  <si>
    <t>G1</t>
  </si>
  <si>
    <t>1.30</t>
  </si>
  <si>
    <t>OAN_CTX: ORG/CHANNEL viewer, ROLES, in_group</t>
  </si>
  <si>
    <t>1.31</t>
  </si>
  <si>
    <t>Staff scopes + single authz + one grant API</t>
  </si>
  <si>
    <t>1.28</t>
  </si>
  <si>
    <t>Synthetic data: 100k profiles, 1M posts, 20k jobs</t>
  </si>
  <si>
    <t>1.32</t>
  </si>
  <si>
    <t>OAN_LU_CODE intents with live_yn (J01-J21 + roles)</t>
  </si>
  <si>
    <t>1.33</t>
  </si>
  <si>
    <t>Retention rules + injectable clock</t>
  </si>
  <si>
    <t>1.34</t>
  </si>
  <si>
    <t>Automations map, DBMS_LOCK run locks, send state machine</t>
  </si>
  <si>
    <t>1.35</t>
  </si>
  <si>
    <t>Messaging permission, referral opt-in, directory switch</t>
  </si>
  <si>
    <t>1.36</t>
  </si>
  <si>
    <t>oan_export_pkg (person-level exports)</t>
  </si>
  <si>
    <t>1.37</t>
  </si>
  <si>
    <t>option_live(): Build Option + DPIA sign-off</t>
  </si>
  <si>
    <t>- S0 runs 19-30 Oct 2026 (10 working days) and closes gate G0; S1 runs 2-13 Nov 2026 and delivers the first shared database deploy (db-baseline-v1), feeding G1 and the G-RB re-baseline.</t>
  </si>
  <si>
    <t>- Board totals: S0 = 21 tracked tasks, 18.75 pd; S1 = 17 tracked tasks, 49.25 pd. Estimates are developer person-days before the 20% contingency.</t>
  </si>
  <si>
    <t>- Three S0 cards are Blocked on G0 decisions: 0.6 Google OIDC client, 0.12 social sign-in (Google sign-in set aside, Q33) and the staffing decision. 11 of 24 S0 cards are already Done and 15 of 20 S1 cards are Done, so the offline-authored database work is landing ahead of the sprint plan.</t>
  </si>
  <si>
    <t>- Tiers P0-P4 come from docs/05-flow-priority.md: P0 and P1 are never cut; the S11 descope lane cuts from P4 upward.</t>
  </si>
  <si>
    <t>- Day shading shows the planned working days within the S0-S1 window; exact daily scheduling is agreed at sprint planning.</t>
  </si>
  <si>
    <t>CXO Governance - Tracking and Decision Rights</t>
  </si>
  <si>
    <t>Who decides what, how often, and how it escalates. Governance is where AI initiatives are steered, not just reported.</t>
  </si>
  <si>
    <t>Governance bodies</t>
  </si>
  <si>
    <t>Governance Body</t>
  </si>
  <si>
    <t>Purpose / Decision Rights</t>
  </si>
  <si>
    <t>Chair</t>
  </si>
  <si>
    <t>Members (Roles)</t>
  </si>
  <si>
    <t>Cadence</t>
  </si>
  <si>
    <t>Inputs</t>
  </si>
  <si>
    <t>Outputs / Decisions</t>
  </si>
  <si>
    <t>Escalation Path</t>
  </si>
  <si>
    <t>Executive Steering Committee (CXO)</t>
  </si>
  <si>
    <t>Owns the business outcome. Approves charter, funding, v1 scope, design sign-off and go/no-go to build.</t>
  </si>
  <si>
    <t>CXO sponsor, Product Owner, PM, Brand, HR/Talent, Marketing, Finance, Legal</t>
  </si>
  <si>
    <t>Bi-weekly (weekly during gates)</t>
  </si>
  <si>
    <t>Status report, KPI dashboard, RAID highlights, gate pack</t>
  </si>
  <si>
    <t>Charter, budget, scope and gate decisions, escalations resolved</t>
  </si>
  <si>
    <t>To Board / CEO for enterprise-level decisions</t>
  </si>
  <si>
    <t>Active</t>
  </si>
  <si>
    <t>Design Authority / Brand Review Board</t>
  </si>
  <si>
    <t>Protects Oracle brand and design-system integrity across all 8 screens and components.</t>
  </si>
  <si>
    <t>Brand Review Lead</t>
  </si>
  <si>
    <t>Design Systems Lead, UX Lead, Marketing, Brand</t>
  </si>
  <si>
    <t>Weekly during Modeling</t>
  </si>
  <si>
    <t>Functional Specification v1.1, tokens, component library, screen designs</t>
  </si>
  <si>
    <t>Brand and design approvals, standards</t>
  </si>
  <si>
    <t>To Steering Committee</t>
  </si>
  <si>
    <t>Privacy &amp; Compliance Board</t>
  </si>
  <si>
    <t>Owns alumni PII, consent, directory visibility and data-protection compliance.</t>
  </si>
  <si>
    <t>Privacy Officer</t>
  </si>
  <si>
    <t>Legal, Security, Data Steward, Product Owner</t>
  </si>
  <si>
    <t>At each gate + on demand</t>
  </si>
  <si>
    <t>Privacy screen, data model, consent model</t>
  </si>
  <si>
    <t>Consent and privacy approvals</t>
  </si>
  <si>
    <t>To Steering Committee if a release is blocked</t>
  </si>
  <si>
    <t>Accessibility &amp; Quality Board</t>
  </si>
  <si>
    <t>Ensures WCAG 2.2 AA across breakpoints and a quality bar for the delivered experience.</t>
  </si>
  <si>
    <t>Accessibility Lead</t>
  </si>
  <si>
    <t>UX, QA, Front-end Lead, Brand</t>
  </si>
  <si>
    <t>Bi-weekly</t>
  </si>
  <si>
    <t>Accessibility spec, audit findings, QA results</t>
  </si>
  <si>
    <t>Accessibility pass, quality decisions</t>
  </si>
  <si>
    <t>Product / Content Council</t>
  </si>
  <si>
    <t>Prioritises screens, content and the roadmap; validates adoption and value.</t>
  </si>
  <si>
    <t>UX Lead, Content Strategist, Marketing, Business, HR</t>
  </si>
  <si>
    <t>Weekly</t>
  </si>
  <si>
    <t>Roadmap, backlog, content plan, adoption metrics</t>
  </si>
  <si>
    <t>Prioritised backlog, content decisions</t>
  </si>
  <si>
    <t>Architecture &amp; Data Council</t>
  </si>
  <si>
    <t>Approves the technical architecture, integrations, data contracts and the design-token export.</t>
  </si>
  <si>
    <t>Front-end Lead, Back-end Lead, Data Steward, Security</t>
  </si>
  <si>
    <t>Bi-weekly + on demand</t>
  </si>
  <si>
    <t>Architecture decisions, data model, integration map</t>
  </si>
  <si>
    <t>Architecture and data approvals</t>
  </si>
  <si>
    <t>Delivery / PMO Stand-up</t>
  </si>
  <si>
    <t>Runs day-to-day delivery, tracks the plan, RAID and dependencies.</t>
  </si>
  <si>
    <t>Workstream leads, UX, Engineering, QA, Content</t>
  </si>
  <si>
    <t>Daily / weekly</t>
  </si>
  <si>
    <t>Plan, RAID, burndown, blockers</t>
  </si>
  <si>
    <t>Delivery status, blocker resolution</t>
  </si>
  <si>
    <t>To Steering Committee / Product Council</t>
  </si>
  <si>
    <t>CXO decision log</t>
  </si>
  <si>
    <t>Decision ID</t>
  </si>
  <si>
    <t>Date</t>
  </si>
  <si>
    <t>Decision</t>
  </si>
  <si>
    <t>Decided By</t>
  </si>
  <si>
    <t>Rationale</t>
  </si>
  <si>
    <t>Impact</t>
  </si>
  <si>
    <t>D-001</t>
  </si>
  <si>
    <t>[date]</t>
  </si>
  <si>
    <t>Approve project charter and funding</t>
  </si>
  <si>
    <t>Executive Steering Committee</t>
  </si>
  <si>
    <t>Goals and measures of success agreed</t>
  </si>
  <si>
    <t>Project mobilised</t>
  </si>
  <si>
    <t>Approved</t>
  </si>
  <si>
    <t>D-002</t>
  </si>
  <si>
    <t>Confirm v1 scope - 8 screens, admin/CMS and native apps out of scope</t>
  </si>
  <si>
    <t>Steering Committee + Product Council</t>
  </si>
  <si>
    <t>Functional Specification v1.1 scope</t>
  </si>
  <si>
    <t>Scope baselined</t>
  </si>
  <si>
    <t>D-003</t>
  </si>
  <si>
    <t>Approve directory-visibility default (opt-in vs opt-out)</t>
  </si>
  <si>
    <t>Alumni privacy and consent</t>
  </si>
  <si>
    <t>Consent model fixed</t>
  </si>
  <si>
    <t>Pending</t>
  </si>
  <si>
    <t>D-004</t>
  </si>
  <si>
    <t>Oracle Sans web licence for the alumni domain</t>
  </si>
  <si>
    <t>Steering Committee</t>
  </si>
  <si>
    <t>Brand typeface vs. open fallback</t>
  </si>
  <si>
    <t>Typeface for build fixed</t>
  </si>
  <si>
    <t>D-005</t>
  </si>
  <si>
    <t>Event registration in-portal vs. email</t>
  </si>
  <si>
    <t>Product Council</t>
  </si>
  <si>
    <t>Reference uses email; portal can register</t>
  </si>
  <si>
    <t>Events scope fixed</t>
  </si>
  <si>
    <t>D-006</t>
  </si>
  <si>
    <t>Gate 4 design sign-off / go to build</t>
  </si>
  <si>
    <t>Usability and accessibility results vs. targets</t>
  </si>
  <si>
    <t>Build authorised</t>
  </si>
  <si>
    <t>D-007</t>
  </si>
  <si>
    <t>Approve Plan V3.2: 16 sprints S0-S15, 11 gates, merged FSD scope built in Build Pack wave order</t>
  </si>
  <si>
    <t>Delivery board baseline, iteration 9</t>
  </si>
  <si>
    <t>Delivery sequence baselined</t>
  </si>
  <si>
    <t>D-008</t>
  </si>
  <si>
    <t>Q31: build in APEX Build Pack wave order using Build Pack page numbers</t>
  </si>
  <si>
    <t>Keeps the build sequence aligned to the pack</t>
  </si>
  <si>
    <t>Page numbering and build order fixed</t>
  </si>
  <si>
    <t>D-009</t>
  </si>
  <si>
    <t>Q32: dev runs APEX 26.1.5 (accepted); PROD APEX version policy remains open</t>
  </si>
  <si>
    <t>Solution Architect / Steering</t>
  </si>
  <si>
    <t>Dev ADB aiatp accepted on 26.1.5</t>
  </si>
  <si>
    <t>M.1 APEXLang 26.1 to 26.2 migration deferred on dev</t>
  </si>
  <si>
    <t>Approved (dev)</t>
  </si>
  <si>
    <t>D-010</t>
  </si>
  <si>
    <t>Q29: no Oracle HR brokering - HR documents are signposted only</t>
  </si>
  <si>
    <t>Avoids HR data processing in the portal</t>
  </si>
  <si>
    <t>Helpdesk scope reduced to signposting</t>
  </si>
  <si>
    <t>D-011</t>
  </si>
  <si>
    <t>Q30: no Oracle logos on the portal</t>
  </si>
  <si>
    <t>Brand Review Board</t>
  </si>
  <si>
    <t>Brand governance</t>
  </si>
  <si>
    <t>Brand expression limited to palette, type and layout</t>
  </si>
  <si>
    <t>D-012</t>
  </si>
  <si>
    <t>PROD region selection</t>
  </si>
  <si>
    <t>Required before the temporary 100k load-test ADB can be booked</t>
  </si>
  <si>
    <t>G2 (end S8) depends on this decision</t>
  </si>
  <si>
    <t>Escalation path</t>
  </si>
  <si>
    <t>Level 1 - Project Manager resolves within the delivery team (48 hours).</t>
  </si>
  <si>
    <t>Level 2 - AI Product Owner / Product Council resolves cross-team issues (weekly).</t>
  </si>
  <si>
    <t>Level 3 - Steering Committee resolves scope, budget, risk and gate decisions (bi-weekly).</t>
  </si>
  <si>
    <t>Level 4 - Executive Sponsor / Board resolves enterprise-level or cross-portfolio decisions (as required).</t>
  </si>
  <si>
    <t>Change Management &amp; Adoption Plan - Oracle Alumni Network Portal</t>
  </si>
  <si>
    <t>Change is not an afterthought - readiness is built from week 1. ADKAR-based: Awareness &gt; Desire &gt; Knowledge &gt; Ability &gt; Reinforcement.</t>
  </si>
  <si>
    <t>A. Change strategy</t>
  </si>
  <si>
    <t>Case for change</t>
  </si>
  <si>
    <t>Alumni currently reconnect and request documents through fragmented email and third-party sites. The portal gives them one authenticated home - reducing support effort and re-opening the talent pipeline.</t>
  </si>
  <si>
    <t>Vision</t>
  </si>
  <si>
    <t>Every Oracle alumnus has a single, trusted place to reconnect, re-engage, return and self-serve.</t>
  </si>
  <si>
    <t>Change principles</t>
  </si>
  <si>
    <t>Alumni-first; opt-in and privacy-respecting; gradual habit change over forced migration; champions lead peers; measure readiness, not just go-live.</t>
  </si>
  <si>
    <t>Approach</t>
  </si>
  <si>
    <t>ADKAR-based readiness (Awareness &gt; Desire &gt; Knowledge &gt; Ability &gt; Reinforcement) with comms, training, champions and reinforcement from week 1, not after launch.</t>
  </si>
  <si>
    <t>What success looks like</t>
  </si>
  <si>
    <t>Alumni choose the portal voluntarily: sign up, complete profiles, return monthly, message peers, register for events and self-serve documents.</t>
  </si>
  <si>
    <t>B. Stakeholder analysis</t>
  </si>
  <si>
    <t>Stakeholder / Group</t>
  </si>
  <si>
    <t>Interest</t>
  </si>
  <si>
    <t>Influence</t>
  </si>
  <si>
    <t>Current State</t>
  </si>
  <si>
    <t>Desired State</t>
  </si>
  <si>
    <t>Engagement Approach</t>
  </si>
  <si>
    <t>Alumni (all members)</t>
  </si>
  <si>
    <t>End user</t>
  </si>
  <si>
    <t>High</t>
  </si>
  <si>
    <t>Medium</t>
  </si>
  <si>
    <t>Unaware</t>
  </si>
  <si>
    <t>Aware and active</t>
  </si>
  <si>
    <t>Launch comms, portal, social, reminders</t>
  </si>
  <si>
    <t>Alumni champions (per region)</t>
  </si>
  <si>
    <t>Advocate</t>
  </si>
  <si>
    <t>Engaged and advocating</t>
  </si>
  <si>
    <t>1:1 briefing, champion toolkit, community</t>
  </si>
  <si>
    <t>HR / Talent</t>
  </si>
  <si>
    <t>Beneficiary</t>
  </si>
  <si>
    <t>Supportive</t>
  </si>
  <si>
    <t>Embedded (boomerang pipeline)</t>
  </si>
  <si>
    <t>Joint workshops, process update</t>
  </si>
  <si>
    <t>HR / Talent Lead</t>
  </si>
  <si>
    <t>Marketing / Communications</t>
  </si>
  <si>
    <t>Delivery partner</t>
  </si>
  <si>
    <t>Co-delivering launch</t>
  </si>
  <si>
    <t>Joint comms plan, content cadence</t>
  </si>
  <si>
    <t>Marketing Lead</t>
  </si>
  <si>
    <t>Support / Helpdesk</t>
  </si>
  <si>
    <t>Impacted team</t>
  </si>
  <si>
    <t>Neutral</t>
  </si>
  <si>
    <t>Trained and confident</t>
  </si>
  <si>
    <t>Training, FAQs, operational readiness</t>
  </si>
  <si>
    <t>Support Lead</t>
  </si>
  <si>
    <t>Brand / Design Authority</t>
  </si>
  <si>
    <t>Gatekeeper</t>
  </si>
  <si>
    <t>Approved and aligned</t>
  </si>
  <si>
    <t>Reviews at each gate</t>
  </si>
  <si>
    <t>Legal / Privacy</t>
  </si>
  <si>
    <t>Cautious</t>
  </si>
  <si>
    <t>Compliant and assured</t>
  </si>
  <si>
    <t>Review packs, consent model sign-off</t>
  </si>
  <si>
    <t>IT / Security</t>
  </si>
  <si>
    <t>Enabler</t>
  </si>
  <si>
    <t>Aligned</t>
  </si>
  <si>
    <t>Architecture and security reviews</t>
  </si>
  <si>
    <t>CXO / Steering Committee</t>
  </si>
  <si>
    <t>Sponsor</t>
  </si>
  <si>
    <t>Active sponsor</t>
  </si>
  <si>
    <t>Steering cadence, value reviews</t>
  </si>
  <si>
    <t>C. Change impact assessment</t>
  </si>
  <si>
    <t>Area</t>
  </si>
  <si>
    <t>Who Is Impacted</t>
  </si>
  <si>
    <t>What Changes</t>
  </si>
  <si>
    <t>Impact Level</t>
  </si>
  <si>
    <t>Mitigation / Enablement</t>
  </si>
  <si>
    <t>Onboarding &amp; sign-up</t>
  </si>
  <si>
    <t>All alumni</t>
  </si>
  <si>
    <t>Registration and identity verification replace informal access</t>
  </si>
  <si>
    <t>Clear comms, one-step verified sign-up, support FAQ</t>
  </si>
  <si>
    <t>Profile completion</t>
  </si>
  <si>
    <t>Alumni must add role history and current details</t>
  </si>
  <si>
    <t>Completion meter, nudges, smart defaults, explain the value</t>
  </si>
  <si>
    <t>Directory visibility</t>
  </si>
  <si>
    <t>New privacy setting controls who can find them</t>
  </si>
  <si>
    <t>Explicit consent, safe default, plain-language explanation</t>
  </si>
  <si>
    <t>Engagement habit</t>
  </si>
  <si>
    <t>Return visits replace one-off contact</t>
  </si>
  <si>
    <t>Content cadence, notifications, event programme, champions</t>
  </si>
  <si>
    <t>Document requests</t>
  </si>
  <si>
    <t>Alumni + Support</t>
  </si>
  <si>
    <t>Email back-and-forth becomes self-serve form</t>
  </si>
  <si>
    <t>Comms, training, in-portal guidance, support fallback</t>
  </si>
  <si>
    <t>Support operations</t>
  </si>
  <si>
    <t>Helpdesk team</t>
  </si>
  <si>
    <t>New tooling, new request types, new SLAs</t>
  </si>
  <si>
    <t>Training, runbook, hypercare</t>
  </si>
  <si>
    <t>Talent pipeline</t>
  </si>
  <si>
    <t>Boomerang applications arrive via the portal</t>
  </si>
  <si>
    <t>Process update, briefing, referral tracking</t>
  </si>
  <si>
    <t>Comms channel</t>
  </si>
  <si>
    <t>Marketing</t>
  </si>
  <si>
    <t>A new always-on alumni channel to feed</t>
  </si>
  <si>
    <t>Low</t>
  </si>
  <si>
    <t>Briefing, content calendar, ownership agreed</t>
  </si>
  <si>
    <t>D. Communication plan</t>
  </si>
  <si>
    <t>Audience</t>
  </si>
  <si>
    <t>Key Message</t>
  </si>
  <si>
    <t>Channel</t>
  </si>
  <si>
    <t>Timing</t>
  </si>
  <si>
    <t>Frequency</t>
  </si>
  <si>
    <t>Invited alumni</t>
  </si>
  <si>
    <t>The portal is live - reconnect with your Oracle network</t>
  </si>
  <si>
    <t>Email, social, portal</t>
  </si>
  <si>
    <t>Week 4 / launch</t>
  </si>
  <si>
    <t>Once + 2 reminders</t>
  </si>
  <si>
    <t>Registered alumni</t>
  </si>
  <si>
    <t>What's new - insights, events and your network</t>
  </si>
  <si>
    <t>In-portal feed, email</t>
  </si>
  <si>
    <t>Content Strategist</t>
  </si>
  <si>
    <t>From launch</t>
  </si>
  <si>
    <t>Alumni champions</t>
  </si>
  <si>
    <t>Champion programme briefing and toolkit</t>
  </si>
  <si>
    <t>1:1 / community call</t>
  </si>
  <si>
    <t>Week 3</t>
  </si>
  <si>
    <t>Monthly</t>
  </si>
  <si>
    <t>Boomerang pipeline now runs through the portal</t>
  </si>
  <si>
    <t>Email + workshop</t>
  </si>
  <si>
    <t>Once</t>
  </si>
  <si>
    <t>Operational readiness and new request handling</t>
  </si>
  <si>
    <t>Training + runbook</t>
  </si>
  <si>
    <t>Week 4</t>
  </si>
  <si>
    <t>Adoption and value progress</t>
  </si>
  <si>
    <t>Steering pack</t>
  </si>
  <si>
    <t>Recurring</t>
  </si>
  <si>
    <t>Compliance and consent status</t>
  </si>
  <si>
    <t>Review pack</t>
  </si>
  <si>
    <t>At each gate</t>
  </si>
  <si>
    <t>Per gate</t>
  </si>
  <si>
    <t>Wider Oracle staff</t>
  </si>
  <si>
    <t>Support our alumni - share the portal</t>
  </si>
  <si>
    <t>Intranet</t>
  </si>
  <si>
    <t>Launch</t>
  </si>
  <si>
    <t>E. Training &amp; enablement plan</t>
  </si>
  <si>
    <t>What They Learn</t>
  </si>
  <si>
    <t>Format</t>
  </si>
  <si>
    <t>Completion Target</t>
  </si>
  <si>
    <t>Sign up, complete profile, find people, message, events</t>
  </si>
  <si>
    <t>Job aid + short video</t>
  </si>
  <si>
    <t>Week 4 to launch</t>
  </si>
  <si>
    <t>100% reach</t>
  </si>
  <si>
    <t>Champion toolkit, talking points, how to help peers</t>
  </si>
  <si>
    <t>Workshop</t>
  </si>
  <si>
    <t>100% of champions</t>
  </si>
  <si>
    <t>Request handling, FAQs, escalation paths</t>
  </si>
  <si>
    <t>Instructor-led training</t>
  </si>
  <si>
    <t>100% of agents</t>
  </si>
  <si>
    <t>Careers and boomerang process in the portal</t>
  </si>
  <si>
    <t>Briefing</t>
  </si>
  <si>
    <t>100% of team</t>
  </si>
  <si>
    <t>Content team</t>
  </si>
  <si>
    <t>Publishing, moderation and the content calendar</t>
  </si>
  <si>
    <t>Administrators</t>
  </si>
  <si>
    <t>Admin / CMS console - deferred from v1</t>
  </si>
  <si>
    <t>n/a (out of scope v1)</t>
  </si>
  <si>
    <t>Post v1</t>
  </si>
  <si>
    <t>Deferred</t>
  </si>
  <si>
    <t>F. ADKAR readiness tracker</t>
  </si>
  <si>
    <t>ADKAR Element</t>
  </si>
  <si>
    <t>What It Means Here</t>
  </si>
  <si>
    <t>Key Actions</t>
  </si>
  <si>
    <t>Readiness Measure</t>
  </si>
  <si>
    <t>A - Awareness</t>
  </si>
  <si>
    <t>Alumni understand why the portal exists and what it offers</t>
  </si>
  <si>
    <t>Launch comms, leadership letter, social</t>
  </si>
  <si>
    <t>Comms reach / awareness</t>
  </si>
  <si>
    <t>D - Desire</t>
  </si>
  <si>
    <t>Alumni want to join and take part</t>
  </si>
  <si>
    <t>Champions, peer stories, clear value</t>
  </si>
  <si>
    <t>Sign-up intent survey</t>
  </si>
  <si>
    <t>K - Knowledge</t>
  </si>
  <si>
    <t>Alumni know how to use the portal</t>
  </si>
  <si>
    <t>Training assets, job aids, onboarding</t>
  </si>
  <si>
    <t>Training reach</t>
  </si>
  <si>
    <t>A - Ability</t>
  </si>
  <si>
    <t>Alumni can complete key tasks unaided</t>
  </si>
  <si>
    <t>Usability fixes, empty states, support</t>
  </si>
  <si>
    <t>Usability task success</t>
  </si>
  <si>
    <t>UX Lead</t>
  </si>
  <si>
    <t>R - Reinforcement</t>
  </si>
  <si>
    <t>New habits and value are sustained after launch</t>
  </si>
  <si>
    <t>Content cadence, notifications, value reports</t>
  </si>
  <si>
    <t>Monthly return visits</t>
  </si>
  <si>
    <t>G. Change KPIs (also on the KPI Dashboard)</t>
  </si>
  <si>
    <t>KPI ID</t>
  </si>
  <si>
    <t>KPI</t>
  </si>
  <si>
    <t>Definition / Formula</t>
  </si>
  <si>
    <t>Baseline</t>
  </si>
  <si>
    <t>Target</t>
  </si>
  <si>
    <t>CK-01</t>
  </si>
  <si>
    <t>Change readiness score</t>
  </si>
  <si>
    <t>avg ADKAR readiness across audiences</t>
  </si>
  <si>
    <t>[baseline]</t>
  </si>
  <si>
    <t>&gt;= 80%</t>
  </si>
  <si>
    <t>Weekly from week 3</t>
  </si>
  <si>
    <t>CK-02</t>
  </si>
  <si>
    <t>alumni who saw launch comms / invited</t>
  </si>
  <si>
    <t>0%</t>
  </si>
  <si>
    <t>Launch + 2 weeks</t>
  </si>
  <si>
    <t>CK-03</t>
  </si>
  <si>
    <t>Training completion</t>
  </si>
  <si>
    <t>target audience trained / total target</t>
  </si>
  <si>
    <t>&gt;= 90%</t>
  </si>
  <si>
    <t>By launch</t>
  </si>
  <si>
    <t>CK-04</t>
  </si>
  <si>
    <t>Champion coverage</t>
  </si>
  <si>
    <t>regions or teams with an active champion / total</t>
  </si>
  <si>
    <t>CK-05</t>
  </si>
  <si>
    <t>Resistance / escalations</t>
  </si>
  <si>
    <t>count of open high change-resistance items</t>
  </si>
  <si>
    <t>0 high</t>
  </si>
  <si>
    <t>Success Plan - Definition of Success, Adoption and Benefits</t>
  </si>
  <si>
    <t>AI success = Business + Data + Technology + Adoption. Success is defined, measured and owned before build begins.</t>
  </si>
  <si>
    <t>A. Value hypothesis</t>
  </si>
  <si>
    <t>Problem / opportunity</t>
  </si>
  <si>
    <t>[Describe the business problem or opportunity in one sentence.]</t>
  </si>
  <si>
    <t>Proposed agentic solution</t>
  </si>
  <si>
    <t>[Describe the agent, the workflow it automates and where a human stays in the loop.]</t>
  </si>
  <si>
    <t>Expected outcome</t>
  </si>
  <si>
    <t>[Describe the measurable business outcome and the value it creates.]</t>
  </si>
  <si>
    <t>Why agentic AI</t>
  </si>
  <si>
    <t>[Explain why an autonomous agent - not a simpler automation - is the right fit.]</t>
  </si>
  <si>
    <t>Value at stake</t>
  </si>
  <si>
    <t>[Quantify the annual value at stake, e.g. cost, revenue, risk, experience.]</t>
  </si>
  <si>
    <t>B. Success criteria</t>
  </si>
  <si>
    <t>Success Criterion</t>
  </si>
  <si>
    <t>Metric</t>
  </si>
  <si>
    <t>Measurement Method</t>
  </si>
  <si>
    <t>Timeframe</t>
  </si>
  <si>
    <t>SC-01</t>
  </si>
  <si>
    <t>Alumni locate and follow a former colleague quickly</t>
  </si>
  <si>
    <t>Reconnect</t>
  </si>
  <si>
    <t>Searches to find a colleague</t>
  </si>
  <si>
    <t>Within 2 searches</t>
  </si>
  <si>
    <t>Usability test + search analytics</t>
  </si>
  <si>
    <t>Gate 4 / post-launch</t>
  </si>
  <si>
    <t>SC-02</t>
  </si>
  <si>
    <t>Alumni return to the portal regularly</t>
  </si>
  <si>
    <t>Re-engage</t>
  </si>
  <si>
    <t>[target] by month 3</t>
  </si>
  <si>
    <t>Web analytics</t>
  </si>
  <si>
    <t>Month 3 post go-live</t>
  </si>
  <si>
    <t>SC-03</t>
  </si>
  <si>
    <t>Alumni apply to return to Oracle</t>
  </si>
  <si>
    <t>Re-hire</t>
  </si>
  <si>
    <t>Boomerang applications via Careers</t>
  </si>
  <si>
    <t>[target] per quarter</t>
  </si>
  <si>
    <t>Careers referral tracking</t>
  </si>
  <si>
    <t>Quarterly</t>
  </si>
  <si>
    <t>SC-04</t>
  </si>
  <si>
    <t>Document requests are resolved without email back-and-forth</t>
  </si>
  <si>
    <t>Self-serve</t>
  </si>
  <si>
    <t>Self-serve resolution rate</t>
  </si>
  <si>
    <t>&gt;= 70%</t>
  </si>
  <si>
    <t>Helpdesk request logs</t>
  </si>
  <si>
    <t>Month 2 post go-live</t>
  </si>
  <si>
    <t>SC-05</t>
  </si>
  <si>
    <t>The portal is usable by real alumni</t>
  </si>
  <si>
    <t>Usability</t>
  </si>
  <si>
    <t>Task success rate in usability test</t>
  </si>
  <si>
    <t>&gt;= 85%</t>
  </si>
  <si>
    <t>Usability test with 5 alumni</t>
  </si>
  <si>
    <t>UX Research Lead</t>
  </si>
  <si>
    <t>Gate 4</t>
  </si>
  <si>
    <t>SC-06</t>
  </si>
  <si>
    <t>The portal is accessible</t>
  </si>
  <si>
    <t>Accessibility</t>
  </si>
  <si>
    <t>WCAG 2.2 AA conformance</t>
  </si>
  <si>
    <t>Not assessed</t>
  </si>
  <si>
    <t>AA pass, 0 critical</t>
  </si>
  <si>
    <t>Accessibility audit</t>
  </si>
  <si>
    <t>SC-07</t>
  </si>
  <si>
    <t>The portal is on-brand</t>
  </si>
  <si>
    <t>Brand</t>
  </si>
  <si>
    <t>Brand review outcome</t>
  </si>
  <si>
    <t>n/a</t>
  </si>
  <si>
    <t>Pass, 0 critical</t>
  </si>
  <si>
    <t>Design Authority review</t>
  </si>
  <si>
    <t>SC-08</t>
  </si>
  <si>
    <t>Design is ready for build</t>
  </si>
  <si>
    <t>Delivery</t>
  </si>
  <si>
    <t>Screens signed off + tokens exported</t>
  </si>
  <si>
    <t>8 of 8 + token export</t>
  </si>
  <si>
    <t>Handoff checklist</t>
  </si>
  <si>
    <t>Design Systems Lead</t>
  </si>
  <si>
    <t>SC-09</t>
  </si>
  <si>
    <t>Profiles are complete enough to be useful</t>
  </si>
  <si>
    <t>Adoption</t>
  </si>
  <si>
    <t>Average profile completion</t>
  </si>
  <si>
    <t>69% (reference)</t>
  </si>
  <si>
    <t>Profile completion meter</t>
  </si>
  <si>
    <t>SC-10</t>
  </si>
  <si>
    <t>The board delivers on the gate sequence</t>
  </si>
  <si>
    <t>Gates passed on or before their due date</t>
  </si>
  <si>
    <t>0 of 11</t>
  </si>
  <si>
    <t>11 of 11 by S13</t>
  </si>
  <si>
    <t>S13 (go-live)</t>
  </si>
  <si>
    <t>SC-11</t>
  </si>
  <si>
    <t>Effort stays within the estimate and contingency</t>
  </si>
  <si>
    <t>pd delivered vs the 319.75 pd plan incl. 20% contingency</t>
  </si>
  <si>
    <t>Within +/- 10% of plan</t>
  </si>
  <si>
    <t>Board Tasks + Sprint Performance Tracker</t>
  </si>
  <si>
    <t>C. Adoption plan</t>
  </si>
  <si>
    <t>Element</t>
  </si>
  <si>
    <t>Action</t>
  </si>
  <si>
    <t>Success Signal</t>
  </si>
  <si>
    <t>Executive sponsorship</t>
  </si>
  <si>
    <t>Visible sponsorship, gate decisions, value review</t>
  </si>
  <si>
    <t>Ongoing</t>
  </si>
  <si>
    <t>Gates attended, decisions made</t>
  </si>
  <si>
    <t>Alumni communication plan</t>
  </si>
  <si>
    <t>Launch comms, what's new feed, email and social</t>
  </si>
  <si>
    <t>From Gate 4</t>
  </si>
  <si>
    <t>Awareness and sign-up rate</t>
  </si>
  <si>
    <t>Profile completion nudges</t>
  </si>
  <si>
    <t>In-app completion meter nudges to 100%</t>
  </si>
  <si>
    <t>Avg completion &gt;= 90%</t>
  </si>
  <si>
    <t>Onboarding &amp; first-run</t>
  </si>
  <si>
    <t>New members</t>
  </si>
  <si>
    <t>Guided first-run and empty-state guidance</t>
  </si>
  <si>
    <t>First-session task completion</t>
  </si>
  <si>
    <t>Champion network</t>
  </si>
  <si>
    <t>Alumni leaders / regions</t>
  </si>
  <si>
    <t>Peer advocacy and event promotion</t>
  </si>
  <si>
    <t>Champions active per region</t>
  </si>
  <si>
    <t>Content cadence</t>
  </si>
  <si>
    <t>All members</t>
  </si>
  <si>
    <t>Regular insights, perspectives and announcements</t>
  </si>
  <si>
    <t>Weekly from launch</t>
  </si>
  <si>
    <t>Return visits driven by content</t>
  </si>
  <si>
    <t>Events programme</t>
  </si>
  <si>
    <t>In-portal registration and calendar for events</t>
  </si>
  <si>
    <t>Registrations per event</t>
  </si>
  <si>
    <t>Feedback loop</t>
  </si>
  <si>
    <t>In-app feedback and support routed to the backlog</t>
  </si>
  <si>
    <t>Feedback triaged weekly</t>
  </si>
  <si>
    <t>Value storytelling</t>
  </si>
  <si>
    <t>CXO + organisation</t>
  </si>
  <si>
    <t>Publish realised value and lessons</t>
  </si>
  <si>
    <t>Value report issued</t>
  </si>
  <si>
    <t>Pilot programme</t>
  </si>
  <si>
    <t>~50 members, every staff role, &gt;= 3 partner organisations</t>
  </si>
  <si>
    <t>Run the S14 pilot across all staff roles and partner orgs before hypercare</t>
  </si>
  <si>
    <t>S14 (3-14 May 2027)</t>
  </si>
  <si>
    <t>Pilot validated; exit review kicked off</t>
  </si>
  <si>
    <t>Hypercare and handover</t>
  </si>
  <si>
    <t>Support, HR, Marketing, Operations</t>
  </si>
  <si>
    <t>Two weeks of hypercare, then handover and the v1.x backlog</t>
  </si>
  <si>
    <t>S15 (17-28 May 2027)</t>
  </si>
  <si>
    <t>Handover complete; backlog agreed</t>
  </si>
  <si>
    <t>D. Benefits realisation</t>
  </si>
  <si>
    <t>Benefit ID</t>
  </si>
  <si>
    <t>Benefit</t>
  </si>
  <si>
    <t>Quantified Value</t>
  </si>
  <si>
    <t>Realisation Date</t>
  </si>
  <si>
    <t>B-01</t>
  </si>
  <si>
    <t>Reduced support effort for document requests (self-serve)</t>
  </si>
  <si>
    <t>Cost / productivity</t>
  </si>
  <si>
    <t>[value]</t>
  </si>
  <si>
    <t>Planned</t>
  </si>
  <si>
    <t>B-02</t>
  </si>
  <si>
    <t>Reconnect: alumni network activity and relationships re-established</t>
  </si>
  <si>
    <t>Engagement</t>
  </si>
  <si>
    <t>B-03</t>
  </si>
  <si>
    <t>Re-engage: increased monthly return visits and content reach</t>
  </si>
  <si>
    <t>B-04</t>
  </si>
  <si>
    <t>Re-hire: boomerang talent pipeline via Careers</t>
  </si>
  <si>
    <t>Talent</t>
  </si>
  <si>
    <t>B-05</t>
  </si>
  <si>
    <t>Reusable Oracle-branded design system for future alumni and talent portals</t>
  </si>
  <si>
    <t>Strategic</t>
  </si>
  <si>
    <t>E. Definition of Done</t>
  </si>
  <si>
    <t>- The agent performs the target task end-to-end at or above the agreed quality threshold.</t>
  </si>
  <si>
    <t>- Responsible AI controls are in place and approved; audit trail is complete.</t>
  </si>
  <si>
    <t>- Users are trained, enabled and actively adopting the agent in the real workflow.</t>
  </si>
  <si>
    <t>- KPIs meet their targets at Gate 4 and continue to hold at the Gate 6 value review.</t>
  </si>
  <si>
    <t>- Benefits are validated against the baseline and reported to the Steering Committee.</t>
  </si>
  <si>
    <t>Value Stream Map - As-Is Alumni Engagement Flow</t>
  </si>
  <si>
    <t>Map the flow from trigger to value. Find the stages where wait time and rework destroy value - that is where agentic AI earns its place.</t>
  </si>
  <si>
    <t>As-is value stream</t>
  </si>
  <si>
    <t>Stage #</t>
  </si>
  <si>
    <t>Stage Name</t>
  </si>
  <si>
    <t>Entry Trigger</t>
  </si>
  <si>
    <t>VA / NVA</t>
  </si>
  <si>
    <t>Lead Time (days)</t>
  </si>
  <si>
    <t>Process Time (days)</t>
  </si>
  <si>
    <t>Wait Time (days)</t>
  </si>
  <si>
    <t>Flow Efficiency</t>
  </si>
  <si>
    <t>Pain Points</t>
  </si>
  <si>
    <t>Systems / Data</t>
  </si>
  <si>
    <t>Opportunity</t>
  </si>
  <si>
    <t>Target State</t>
  </si>
  <si>
    <t>Discover &amp; sign up</t>
  </si>
  <si>
    <t>An alumnus hears about the portal</t>
  </si>
  <si>
    <t>Learn about the portal, register, verify identity</t>
  </si>
  <si>
    <t>NVA</t>
  </si>
  <si>
    <t>3.0</t>
  </si>
  <si>
    <t>2.7</t>
  </si>
  <si>
    <t>10%</t>
  </si>
  <si>
    <t>Unclear invitation, verification friction, no single entry point</t>
  </si>
  <si>
    <t>Email, marketing, SSO</t>
  </si>
  <si>
    <t>Clear invitation and one-step verified sign-up</t>
  </si>
  <si>
    <t>Frictionless, verified onboarding</t>
  </si>
  <si>
    <t>Complete profile</t>
  </si>
  <si>
    <t>Signed up</t>
  </si>
  <si>
    <t>Add role history, location, current role, photo</t>
  </si>
  <si>
    <t>VA</t>
  </si>
  <si>
    <t>14.0</t>
  </si>
  <si>
    <t>13.0</t>
  </si>
  <si>
    <t>7%</t>
  </si>
  <si>
    <t>Long form, unclear value, profile stalls at 69%</t>
  </si>
  <si>
    <t>Profile service</t>
  </si>
  <si>
    <t>Completion meter, nudges and smart defaults</t>
  </si>
  <si>
    <t>&gt;= 90% profile completion</t>
  </si>
  <si>
    <t>Find former colleagues</t>
  </si>
  <si>
    <t>Wants to reconnect</t>
  </si>
  <si>
    <t>Search and filter the alumni directory</t>
  </si>
  <si>
    <t>15%</t>
  </si>
  <si>
    <t>Weak filters, poor data, dead ends</t>
  </si>
  <si>
    <t>Directory, profile data</t>
  </si>
  <si>
    <t>Strong filters (tenure, line of business, last role) and relevant results</t>
  </si>
  <si>
    <t>Find within 2 searches</t>
  </si>
  <si>
    <t>Connect &amp; converse</t>
  </si>
  <si>
    <t>Found a colleague</t>
  </si>
  <si>
    <t>Follow, message, join groups</t>
  </si>
  <si>
    <t>30%</t>
  </si>
  <si>
    <t>No messaging in the old experience; email back-and-forth</t>
  </si>
  <si>
    <t>Conversations service</t>
  </si>
  <si>
    <t>In-portal 1:1 and group messaging with announcements</t>
  </si>
  <si>
    <t>In-portal conversation</t>
  </si>
  <si>
    <t>Engage with insights &amp; events</t>
  </si>
  <si>
    <t>Portal visit</t>
  </si>
  <si>
    <t>Read insights, register for events</t>
  </si>
  <si>
    <t>25%</t>
  </si>
  <si>
    <t>Content scattered, event sign-up by email</t>
  </si>
  <si>
    <t>Content, events</t>
  </si>
  <si>
    <t>Curated feed and in-portal event registration + calendar</t>
  </si>
  <si>
    <t>Self-serve engagement</t>
  </si>
  <si>
    <t>Explore return-to-Oracle</t>
  </si>
  <si>
    <t>Considering a return</t>
  </si>
  <si>
    <t>Search Oracle and partner jobs; boomerang programme</t>
  </si>
  <si>
    <t>5.0</t>
  </si>
  <si>
    <t>4.5</t>
  </si>
  <si>
    <t>Careers opens a separate site; unclear path back</t>
  </si>
  <si>
    <t>Careers, HR</t>
  </si>
  <si>
    <t>Embedded boomerang hero and in-portal job search</t>
  </si>
  <si>
    <t>Boomerang applications grow</t>
  </si>
  <si>
    <t>7</t>
  </si>
  <si>
    <t>Request HR documents</t>
  </si>
  <si>
    <t>Needs a document</t>
  </si>
  <si>
    <t>Request payslips, Form-16, relieving letter</t>
  </si>
  <si>
    <t>6.0</t>
  </si>
  <si>
    <t>5.7</t>
  </si>
  <si>
    <t>5%</t>
  </si>
  <si>
    <t>Email back-and-forth, no status, manual handling</t>
  </si>
  <si>
    <t>Helpdesk, HR</t>
  </si>
  <si>
    <t>Self-serve request form with consent and reference ID</t>
  </si>
  <si>
    <t>Resolved without email</t>
  </si>
  <si>
    <t>8</t>
  </si>
  <si>
    <t>Re-engage &amp; return</t>
  </si>
  <si>
    <t>Time passes</t>
  </si>
  <si>
    <t>Return visits driven by content, events, network</t>
  </si>
  <si>
    <t>30.0</t>
  </si>
  <si>
    <t>29.5</t>
  </si>
  <si>
    <t>2%</t>
  </si>
  <si>
    <t>No reason to return; no habit loop</t>
  </si>
  <si>
    <t>Analytics, content</t>
  </si>
  <si>
    <t>Regular content cadence, notifications and event programme</t>
  </si>
  <si>
    <t>Monthly return visits grow</t>
  </si>
  <si>
    <t>Flow summary</t>
  </si>
  <si>
    <t>As-Is</t>
  </si>
  <si>
    <t>Target (To-Be)</t>
  </si>
  <si>
    <t>Improvement</t>
  </si>
  <si>
    <t>Total lead time (days)</t>
  </si>
  <si>
    <t>63.0</t>
  </si>
  <si>
    <t>[target]</t>
  </si>
  <si>
    <t>[x]</t>
  </si>
  <si>
    <t>Total process time (days)</t>
  </si>
  <si>
    <t>3.7</t>
  </si>
  <si>
    <t>Total wait time (days)</t>
  </si>
  <si>
    <t>59.3</t>
  </si>
  <si>
    <t>Flow efficiency (process / lead)</t>
  </si>
  <si>
    <t>6%</t>
  </si>
  <si>
    <t>&gt;= 25%</t>
  </si>
  <si>
    <t>+19 pts</t>
  </si>
  <si>
    <t>Stages with high-value opportunity</t>
  </si>
  <si>
    <t>6 of 8</t>
  </si>
  <si>
    <t>-</t>
  </si>
  <si>
    <t>Highest-leverage stages</t>
  </si>
  <si>
    <t>2, 3, 4, 7 (Profile, Find, Connect, Self-serve)</t>
  </si>
  <si>
    <t>Target these first</t>
  </si>
  <si>
    <t>Flow efficiency = process time / lead time. Low efficiency means the work waits more than it works - the prime target for an autonomous agent.</t>
  </si>
  <si>
    <t>KPI Dashboard - Measuring What Matters</t>
  </si>
  <si>
    <t>Business, adoption, data, technology, Responsible AI and delivery KPIs - each with a definition, baseline, target, owner and RAG threshold. Delivery KPIs (cards complete, gate pass rate, effort burn, blocked cards, descope use) are read from the Kanban Dashboard.</t>
  </si>
  <si>
    <t>Data Source</t>
  </si>
  <si>
    <t>Green / Amber / Red</t>
  </si>
  <si>
    <t>Linked Criterion</t>
  </si>
  <si>
    <t>Current Value</t>
  </si>
  <si>
    <t>RAG</t>
  </si>
  <si>
    <t>K-01</t>
  </si>
  <si>
    <t>avg searches before a successful follow</t>
  </si>
  <si>
    <t>Analytics</t>
  </si>
  <si>
    <t>&lt;= 2</t>
  </si>
  <si>
    <t>G &lt;=2 / A 3 / R &gt;3</t>
  </si>
  <si>
    <t>K-02</t>
  </si>
  <si>
    <t>Directory search success rate</t>
  </si>
  <si>
    <t>searches returning a result / total searches</t>
  </si>
  <si>
    <t>G &gt;=90 / A 75-89 / R &lt;75</t>
  </si>
  <si>
    <t>K-03</t>
  </si>
  <si>
    <t>Follow / connect rate</t>
  </si>
  <si>
    <t>members followed / directory visitors</t>
  </si>
  <si>
    <t>G &gt;=25 / A 12-24 / R &lt;12</t>
  </si>
  <si>
    <t>K-04</t>
  </si>
  <si>
    <t>distinct members returning in a month</t>
  </si>
  <si>
    <t>G &gt;=target / A 70-99% / R &lt;70%</t>
  </si>
  <si>
    <t>K-05</t>
  </si>
  <si>
    <t>Content engagement rate</t>
  </si>
  <si>
    <t>article reads / active members</t>
  </si>
  <si>
    <t>&gt;= 40%</t>
  </si>
  <si>
    <t>G &gt;=40 / A 20-39 / R &lt;20</t>
  </si>
  <si>
    <t>K-06</t>
  </si>
  <si>
    <t>Event registrations per event</t>
  </si>
  <si>
    <t>registrations per published event</t>
  </si>
  <si>
    <t>Events service</t>
  </si>
  <si>
    <t>Per event</t>
  </si>
  <si>
    <t>K-07</t>
  </si>
  <si>
    <t>Boomerang applications</t>
  </si>
  <si>
    <t>applications via Careers per quarter</t>
  </si>
  <si>
    <t>Careers / HR</t>
  </si>
  <si>
    <t>K-08</t>
  </si>
  <si>
    <t>Careers engagement</t>
  </si>
  <si>
    <t>job searches and role views in-portal</t>
  </si>
  <si>
    <t>K-09</t>
  </si>
  <si>
    <t>requests resolved without email / total</t>
  </si>
  <si>
    <t>Helpdesk logs</t>
  </si>
  <si>
    <t>G &gt;=70 / A 45-69 / R &lt;45</t>
  </si>
  <si>
    <t>K-10</t>
  </si>
  <si>
    <t>Document request turnaround</t>
  </si>
  <si>
    <t>avg hours from request to resolution</t>
  </si>
  <si>
    <t>&lt;= 48h</t>
  </si>
  <si>
    <t>G &lt;=48 / A 49-96 / R &gt;96</t>
  </si>
  <si>
    <t>K-11</t>
  </si>
  <si>
    <t>Form completion rate</t>
  </si>
  <si>
    <t>requests submitted / forms started</t>
  </si>
  <si>
    <t>G &gt;=85 / A 65-84 / R &lt;65</t>
  </si>
  <si>
    <t>K-12</t>
  </si>
  <si>
    <t>verified members / invited alumni</t>
  </si>
  <si>
    <t>Auth / analytics</t>
  </si>
  <si>
    <t>K-13</t>
  </si>
  <si>
    <t>avg completion % across members</t>
  </si>
  <si>
    <t>K-14</t>
  </si>
  <si>
    <t>Messaging activity</t>
  </si>
  <si>
    <t>messages sent / active members</t>
  </si>
  <si>
    <t>Conversations</t>
  </si>
  <si>
    <t>K-15</t>
  </si>
  <si>
    <t>Quality</t>
  </si>
  <si>
    <t>tasks completed unaided / tasks set</t>
  </si>
  <si>
    <t>Usability test</t>
  </si>
  <si>
    <t>G &gt;=85 / A 70-84 / R &lt;70</t>
  </si>
  <si>
    <t>K-16</t>
  </si>
  <si>
    <t>AA success criteria passed / total</t>
  </si>
  <si>
    <t>Gate 4 + ongoing</t>
  </si>
  <si>
    <t>100% AA, 0 critical</t>
  </si>
  <si>
    <t>G 100 / A 95-99 / R &lt;95</t>
  </si>
  <si>
    <t>K-17</t>
  </si>
  <si>
    <t>brand issues found at review</t>
  </si>
  <si>
    <t>Design Authority</t>
  </si>
  <si>
    <t>0 critical</t>
  </si>
  <si>
    <t>G 0 / A 1-2 minor / R any critical</t>
  </si>
  <si>
    <t>K-18</t>
  </si>
  <si>
    <t>Page load performance</t>
  </si>
  <si>
    <t>LCP at p75 on desktop</t>
  </si>
  <si>
    <t>RUM / monitoring</t>
  </si>
  <si>
    <t>&lt;= 2.5s</t>
  </si>
  <si>
    <t>G &lt;=2.5 / A 2.6-4 / R &gt;4</t>
  </si>
  <si>
    <t>Front-end Lead</t>
  </si>
  <si>
    <t>K-19</t>
  </si>
  <si>
    <t>Privacy</t>
  </si>
  <si>
    <t>Consent coverage</t>
  </si>
  <si>
    <t>members with valid consent / registered</t>
  </si>
  <si>
    <t>Consent service</t>
  </si>
  <si>
    <t>100%</t>
  </si>
  <si>
    <t>K-20</t>
  </si>
  <si>
    <t>Privacy incidents</t>
  </si>
  <si>
    <t>count of PII / privacy incidents</t>
  </si>
  <si>
    <t>Continuous</t>
  </si>
  <si>
    <t>G 0 / R &gt;0</t>
  </si>
  <si>
    <t>K-21</t>
  </si>
  <si>
    <t>Screens signed off</t>
  </si>
  <si>
    <t>screens approved / 8</t>
  </si>
  <si>
    <t>PMO</t>
  </si>
  <si>
    <t>8 of 8</t>
  </si>
  <si>
    <t>G 8 / A 6-7 / R &lt;6</t>
  </si>
  <si>
    <t>K-22</t>
  </si>
  <si>
    <t>Spec review-gate pass rate</t>
  </si>
  <si>
    <t>specs approved first time / submitted</t>
  </si>
  <si>
    <t>Per feature</t>
  </si>
  <si>
    <t>G &gt;=80 / A 60-79 / R &lt;60</t>
  </si>
  <si>
    <t>K-23</t>
  </si>
  <si>
    <t>Schedule adherence</t>
  </si>
  <si>
    <t>milestones met on time / total</t>
  </si>
  <si>
    <t>K-24</t>
  </si>
  <si>
    <t>RAID open high items</t>
  </si>
  <si>
    <t>count of open high/critical RAID items</t>
  </si>
  <si>
    <t>RAID log</t>
  </si>
  <si>
    <t>0 overdue high</t>
  </si>
  <si>
    <t>G 0 / A 1-2 / R &gt;2</t>
  </si>
  <si>
    <t>K-25</t>
  </si>
  <si>
    <t>Readiness survey</t>
  </si>
  <si>
    <t>K-26</t>
  </si>
  <si>
    <t>alumni reached by launch comms / invited</t>
  </si>
  <si>
    <t>Comms analytics</t>
  </si>
  <si>
    <t>Launch + 2 wks</t>
  </si>
  <si>
    <t>K-27</t>
  </si>
  <si>
    <t>Training records</t>
  </si>
  <si>
    <t>G &gt;=90 / A 70-89 / R &lt;70</t>
  </si>
  <si>
    <t>K-28</t>
  </si>
  <si>
    <t>regions / teams with an active champion</t>
  </si>
  <si>
    <t>Champion register</t>
  </si>
  <si>
    <t>G &gt;=80 / A 50-79 / R &lt;50</t>
  </si>
  <si>
    <t>K-29</t>
  </si>
  <si>
    <t>open high change-resistance items</t>
  </si>
  <si>
    <t>Change log</t>
  </si>
  <si>
    <t>K-30</t>
  </si>
  <si>
    <t>Sprint velocity</t>
  </si>
  <si>
    <t>delivered story points per sprint</t>
  </si>
  <si>
    <t>Performance Tracker</t>
  </si>
  <si>
    <t>Per sprint</t>
  </si>
  <si>
    <t>G &gt;=target / A 80-99% / R &lt;80%</t>
  </si>
  <si>
    <t>Scrum Master</t>
  </si>
  <si>
    <t>K-31</t>
  </si>
  <si>
    <t>Sprint commitment reliability</t>
  </si>
  <si>
    <t>delivered SP / committed SP</t>
  </si>
  <si>
    <t>0.90 - 1.10</t>
  </si>
  <si>
    <t>G 0.90-1.10 / A 0.80-0.89 or 1.11-1.20 / R outside</t>
  </si>
  <si>
    <t>K-32</t>
  </si>
  <si>
    <t>Capacity utilisation</t>
  </si>
  <si>
    <t>delivered SP / team capacity SP</t>
  </si>
  <si>
    <t>75 - 90%</t>
  </si>
  <si>
    <t>G 75-90 / A 60-74 / R &lt;60</t>
  </si>
  <si>
    <t>K-33</t>
  </si>
  <si>
    <t>Spill-over points</t>
  </si>
  <si>
    <t>story points carried into the next sprint</t>
  </si>
  <si>
    <t>Capacity Planner</t>
  </si>
  <si>
    <t>&lt;= 10% of commitment</t>
  </si>
  <si>
    <t>G &lt;=10% / A 11-20% / R &gt;20%</t>
  </si>
  <si>
    <t>K-34</t>
  </si>
  <si>
    <t>CV &amp; Work Profile</t>
  </si>
  <si>
    <t>CV currency</t>
  </si>
  <si>
    <t>members with a CV updated or confirmed in the last 6 months / total</t>
  </si>
  <si>
    <t>K-35</t>
  </si>
  <si>
    <t>Work profile currency</t>
  </si>
  <si>
    <t>members with a work profile confirmed in the last 6 months / total</t>
  </si>
  <si>
    <t>K-36</t>
  </si>
  <si>
    <t>Update request completion</t>
  </si>
  <si>
    <t>requests closed on update / requests raised</t>
  </si>
  <si>
    <t>Update queue</t>
  </si>
  <si>
    <t>K-37</t>
  </si>
  <si>
    <t>Channel-linked members</t>
  </si>
  <si>
    <t>members with a linked Slack or WhatsApp identity / registered</t>
  </si>
  <si>
    <t>Channel identities</t>
  </si>
  <si>
    <t>Integration / Channel Lead</t>
  </si>
  <si>
    <t>K-38</t>
  </si>
  <si>
    <t>Channel message resolution</t>
  </si>
  <si>
    <t>inbound channel messages resolved with an intent / total</t>
  </si>
  <si>
    <t>Channel messages</t>
  </si>
  <si>
    <t>K-39</t>
  </si>
  <si>
    <t>Channel delivery success</t>
  </si>
  <si>
    <t>channel messages delivered / queued</t>
  </si>
  <si>
    <t>&gt;= 98%</t>
  </si>
  <si>
    <t>G &gt;=98 / A 95-97 / R &lt;95</t>
  </si>
  <si>
    <t>K-40</t>
  </si>
  <si>
    <t>Opt-in compliance</t>
  </si>
  <si>
    <t>outbound WhatsApp sent without opt-in</t>
  </si>
  <si>
    <t>K-41</t>
  </si>
  <si>
    <t>Cards complete on the board</t>
  </si>
  <si>
    <t>cards in Done or Authored offline / 154 tracked</t>
  </si>
  <si>
    <t>70 of 154 (iteration 23)</t>
  </si>
  <si>
    <t>&gt;= 90% by end S13</t>
  </si>
  <si>
    <t>K-42</t>
  </si>
  <si>
    <t>Gate pass rate</t>
  </si>
  <si>
    <t>gates passed on time / gates due</t>
  </si>
  <si>
    <t>100% on or before due date</t>
  </si>
  <si>
    <t>G 100 / A 80-99 / R &lt;80</t>
  </si>
  <si>
    <t>K-43</t>
  </si>
  <si>
    <t>Effort burn vs plan</t>
  </si>
  <si>
    <t>cumulative pd delivered / 319.75 pd plan</t>
  </si>
  <si>
    <t>G &lt;=10 / A 11-20 / R &gt;20</t>
  </si>
  <si>
    <t>K-44</t>
  </si>
  <si>
    <t>Blocked cards</t>
  </si>
  <si>
    <t>cards in Blocked status on the board</t>
  </si>
  <si>
    <t>0 by end S2</t>
  </si>
  <si>
    <t>K-45</t>
  </si>
  <si>
    <t>Descope lane use</t>
  </si>
  <si>
    <t>P4 pd cut at the S11 descope lane</t>
  </si>
  <si>
    <t>At S11</t>
  </si>
  <si>
    <t>0 pd</t>
  </si>
  <si>
    <t>&lt;= 10% of P4 pd</t>
  </si>
  <si>
    <t>RACI Matrix - Oracle Alumni Network Portal</t>
  </si>
  <si>
    <t>R = Responsible  |  A = Accountable (exactly one)  |  C = Consulted  |  I = Informed  |  S = Support</t>
  </si>
  <si>
    <t>UI / Visual Designer</t>
  </si>
  <si>
    <t>Back-end Lead</t>
  </si>
  <si>
    <t>Mobilise</t>
  </si>
  <si>
    <t>Stand up governance bodies</t>
  </si>
  <si>
    <t>Agree RACI and ways of working</t>
  </si>
  <si>
    <t>Stakeholder review of Functional Specification v1.1</t>
  </si>
  <si>
    <t>Confirm goals and measures of success</t>
  </si>
  <si>
    <t>Confirm v1 scope (8 screens, in / out)</t>
  </si>
  <si>
    <t>Validate IA and navigation model</t>
  </si>
  <si>
    <t>Content inventory and copy rules</t>
  </si>
  <si>
    <t>Privacy and consent screening</t>
  </si>
  <si>
    <t>Confirm governance cadence</t>
  </si>
  <si>
    <t>Define alumni data model and directory fields</t>
  </si>
  <si>
    <t>Confirm data sources and integrations</t>
  </si>
  <si>
    <t>Agree directory-visibility defaults</t>
  </si>
  <si>
    <t>Resolve open questions (licence, letter, events, regions)</t>
  </si>
  <si>
    <t>Finalise design tokens</t>
  </si>
  <si>
    <t>Accessibility spec - WCAG 2.2 AA</t>
  </si>
  <si>
    <t>Responsive breakpoint spec</t>
  </si>
  <si>
    <t>Content and copy rules; data fallbacks</t>
  </si>
  <si>
    <t>Shape and write screen specs</t>
  </si>
  <si>
    <t>Build component library</t>
  </si>
  <si>
    <t>Design the 8 core screens</t>
  </si>
  <si>
    <t>Build clickable hi-fi prototype</t>
  </si>
  <si>
    <t>Accessibility review of the prototype</t>
  </si>
  <si>
    <t>Analyse findings and prioritise fixes</t>
  </si>
  <si>
    <t>WCAG 2.2 AA audit and remediation</t>
  </si>
  <si>
    <t>Brand compliance and quality review</t>
  </si>
  <si>
    <t>Stakeholder review and design sign-off</t>
  </si>
  <si>
    <t>Dev handoff and token export</t>
  </si>
  <si>
    <t>Go / No-Go decision to build</t>
  </si>
  <si>
    <t>Front-end and back-end build</t>
  </si>
  <si>
    <t>Integration, QA and launch</t>
  </si>
  <si>
    <t>Alumni onboarding and launch comms</t>
  </si>
  <si>
    <t>Monitor adoption, engagement and quality</t>
  </si>
  <si>
    <t>Track benefits realisation and value</t>
  </si>
  <si>
    <t>Run continuous improvement backlog</t>
  </si>
  <si>
    <t>Change impact assessment</t>
  </si>
  <si>
    <t>Stakeholder analysis and engagement map</t>
  </si>
  <si>
    <t>Change strategy and case for change</t>
  </si>
  <si>
    <t>Communication plan and launch narrative</t>
  </si>
  <si>
    <t>Training needs analysis</t>
  </si>
  <si>
    <t>Adoption readiness baseline survey</t>
  </si>
  <si>
    <t>Develop training and enablement assets</t>
  </si>
  <si>
    <t>Champion network setup</t>
  </si>
  <si>
    <t>Change readiness check and resistance plan</t>
  </si>
  <si>
    <t>Finalise launch comms and onboarding pack</t>
  </si>
  <si>
    <t>Adoption measurement plan and post-launch cadence</t>
  </si>
  <si>
    <t>Sprint planning and capacity management</t>
  </si>
  <si>
    <t>Sprint review, demo and retrospective</t>
  </si>
  <si>
    <t>Sprint performance tracking and velocity forecast</t>
  </si>
  <si>
    <t>Define CV structure and work profile fields</t>
  </si>
  <si>
    <t>Agree CV review cadence and update policy</t>
  </si>
  <si>
    <t>Design CV builder and work profile screens</t>
  </si>
  <si>
    <t>Validate CV builder and profile update flow</t>
  </si>
  <si>
    <t>Confirm Slack and WhatsApp channel scope</t>
  </si>
  <si>
    <t>Channel identity model and opt-in policy</t>
  </si>
  <si>
    <t>Spec inbound and outbound channel handling</t>
  </si>
  <si>
    <t>Channel end-to-end and security test</t>
  </si>
  <si>
    <t>Toolchain, spikes and migrations - close G0</t>
  </si>
  <si>
    <t>S1-S2</t>
  </si>
  <si>
    <t>Database baseline, W0 auth and admin - G1 and G-RB</t>
  </si>
  <si>
    <t>S3-S7</t>
  </si>
  <si>
    <t>Build packs W0-W5 including gated options - G-AI, G-CH, G-CF</t>
  </si>
  <si>
    <t>S8-S11</t>
  </si>
  <si>
    <t>Build packs W5-W7 and the descope lane - G2 and G3</t>
  </si>
  <si>
    <t>S12-S13</t>
  </si>
  <si>
    <t>Hardening, UAT and go-live - G4, G5 and gate 8.0</t>
  </si>
  <si>
    <t>S14-S15</t>
  </si>
  <si>
    <t>Pilot with ~50 members, hypercare and handover</t>
  </si>
  <si>
    <t>RAID Log - Risks, Assumptions, Issues, Dependencies</t>
  </si>
  <si>
    <t>Living register aligned to the delivery board: G0 blockers, gated build options and the descope lane. Reviewed weekly at the PMO stand-up; high items escalate to the Steering Committee.</t>
  </si>
  <si>
    <t>Register</t>
  </si>
  <si>
    <t>Description</t>
  </si>
  <si>
    <t>Probability / Impact</t>
  </si>
  <si>
    <t>Score</t>
  </si>
  <si>
    <t>Mitigation / Response</t>
  </si>
  <si>
    <t>Due Date</t>
  </si>
  <si>
    <t>R-001</t>
  </si>
  <si>
    <t>Oracle Sans web licence for the alumni domain is not secured in time</t>
  </si>
  <si>
    <t>Medium / High</t>
  </si>
  <si>
    <t>12</t>
  </si>
  <si>
    <t>Confirm licence or proceed on the Albert Sans fallback; decide at Gate 2.</t>
  </si>
  <si>
    <t>Open</t>
  </si>
  <si>
    <t>R-002</t>
  </si>
  <si>
    <t>Leadership letter author and portrait approval delays the Home hero</t>
  </si>
  <si>
    <t>Content</t>
  </si>
  <si>
    <t>Start approval early; use a placeholder slide until sign-off.</t>
  </si>
  <si>
    <t>R-003</t>
  </si>
  <si>
    <t>Alumni profile data is incomplete or contains raw null / N-A values</t>
  </si>
  <si>
    <t>Data</t>
  </si>
  <si>
    <t>High / Medium</t>
  </si>
  <si>
    <t>Data quality assessment; enforce graceful fallbacks ('-', 'Open to opportunities').</t>
  </si>
  <si>
    <t>R-004</t>
  </si>
  <si>
    <t>Directory-visibility default (opt-in vs opt-out) is unresolved and blocks the directory</t>
  </si>
  <si>
    <t>Decide at the Privacy &amp; Compliance Board in week 2; document the consent model.</t>
  </si>
  <si>
    <t>R-005</t>
  </si>
  <si>
    <t>Scope creep beyond v1 (admin / CMS console, native apps, analytics dashboards)</t>
  </si>
  <si>
    <t>Scope</t>
  </si>
  <si>
    <t>Baselined out-of-scope list; change control via Steering Committee.</t>
  </si>
  <si>
    <t>R-006</t>
  </si>
  <si>
    <t>Accessibility (WCAG 2.2 AA) gaps found late in the build</t>
  </si>
  <si>
    <t>Compliance</t>
  </si>
  <si>
    <t>Accessibility spec in week 2; prototype review in week 3; audit in week 4.</t>
  </si>
  <si>
    <t>R-007</t>
  </si>
  <si>
    <t>Low alumni adoption after launch</t>
  </si>
  <si>
    <t>Launch comms, content cadence, champions, profile nudges; track return visits weekly.</t>
  </si>
  <si>
    <t>R-008</t>
  </si>
  <si>
    <t>Reference-portal patterns leak through instead of Oracle brand</t>
  </si>
  <si>
    <t>Medium / Medium</t>
  </si>
  <si>
    <t>9</t>
  </si>
  <si>
    <t>Design Authority review at each gate; brand substitution table applied globally.</t>
  </si>
  <si>
    <t>R-009</t>
  </si>
  <si>
    <t>Integration with Oracle Careers / events / HR is harder than expected</t>
  </si>
  <si>
    <t>Technical</t>
  </si>
  <si>
    <t>Confirm integration map in week 2; define deep-link fallbacks.</t>
  </si>
  <si>
    <t>A-001</t>
  </si>
  <si>
    <t>Alumni data and directory fields are available for the build</t>
  </si>
  <si>
    <t>Confirm availability in Data Understanding; escalate gaps.</t>
  </si>
  <si>
    <t>A-002</t>
  </si>
  <si>
    <t>SSO / verified-email authentication is available for the alumni domain</t>
  </si>
  <si>
    <t>Confirm auth approach in week 2.</t>
  </si>
  <si>
    <t>A-003</t>
  </si>
  <si>
    <t>Reference screenshots remain available to guide structure</t>
  </si>
  <si>
    <t>Design</t>
  </si>
  <si>
    <t>Low / Medium</t>
  </si>
  <si>
    <t>Archive reference material; capture in the design document.</t>
  </si>
  <si>
    <t>A-004</t>
  </si>
  <si>
    <t>Oracle brand assets and imagery are available from the brand library</t>
  </si>
  <si>
    <t>Request brand assets in week 2; use placeholders until supplied.</t>
  </si>
  <si>
    <t>A-005</t>
  </si>
  <si>
    <t>CXO sponsorship and funding remain stable</t>
  </si>
  <si>
    <t>Governance</t>
  </si>
  <si>
    <t>Low / High</t>
  </si>
  <si>
    <t>Regular value reporting; visible quick wins; steering engagement.</t>
  </si>
  <si>
    <t>I-001</t>
  </si>
  <si>
    <t>Open questions in the design document are unresolved (licence, letter, registration, regions, privacy default)</t>
  </si>
  <si>
    <t>n/a / High</t>
  </si>
  <si>
    <t>Resolve in weeks 1-2 via the decision log; escalate to Steering if unresolved.</t>
  </si>
  <si>
    <t>Oracle Sans web licence decision</t>
  </si>
  <si>
    <t>Confirm in week 2; fallback is Albert Sans.</t>
  </si>
  <si>
    <t>Leadership letter author and portrait approval</t>
  </si>
  <si>
    <t>Track with the content owner; placeholder until approved.</t>
  </si>
  <si>
    <t>SSO provider / verified-email setup</t>
  </si>
  <si>
    <t>Confirm approach in week 2; needed for build.</t>
  </si>
  <si>
    <t>Oracle Careers deep-link and partner marketplace integration</t>
  </si>
  <si>
    <t>Confirm deep-link contract before Deployment.</t>
  </si>
  <si>
    <t>Legal / privacy sign-off on consent and terms</t>
  </si>
  <si>
    <t>Submit in week 2; sign-off before Gate 4.</t>
  </si>
  <si>
    <t>Alumni participants for the usability test (6-8)</t>
  </si>
  <si>
    <t>Resource</t>
  </si>
  <si>
    <t>Recruit and confirm before Gate 3.</t>
  </si>
  <si>
    <t>R-010</t>
  </si>
  <si>
    <t>Alumni resist sharing profile data or distrust the privacy default</t>
  </si>
  <si>
    <t>Explicit consent, safe default, plain-language comms, privacy FAQ.</t>
  </si>
  <si>
    <t>R-011</t>
  </si>
  <si>
    <t>Habit change fails - alumni keep emailing for documents instead of self-serving</t>
  </si>
  <si>
    <t>Comms + training, in-portal guidance, phased email redirection, track self-serve rate.</t>
  </si>
  <si>
    <t>A-006</t>
  </si>
  <si>
    <t>Alumni are willing to self-serve rather than rely on email</t>
  </si>
  <si>
    <t>Validate via the readiness baseline survey in week 2.</t>
  </si>
  <si>
    <t>Alumni champions nominated per region</t>
  </si>
  <si>
    <t>Change</t>
  </si>
  <si>
    <t>Confirm champions by week 3 to support launch.</t>
  </si>
  <si>
    <t>R-012</t>
  </si>
  <si>
    <t>Sprint capacity is overstated (allocation, ramp-up or ceremonies under-estimated)</t>
  </si>
  <si>
    <t>Use the risk-adjusted velocity and planning buffer; reconcile against actuals every sprint.</t>
  </si>
  <si>
    <t>A-007</t>
  </si>
  <si>
    <t>The build team is available at the planned allocation across all sprints</t>
  </si>
  <si>
    <t>Confirm allocations before Sprint 1; track capacity utilisation.</t>
  </si>
  <si>
    <t>R-013</t>
  </si>
  <si>
    <t>CVs and work profiles go stale, so partners and peers stop trusting the directory</t>
  </si>
  <si>
    <t>Cadence-driven update requests, reminders on enabled channels, currency KPIs K-34/K-35.</t>
  </si>
  <si>
    <t>R-014</t>
  </si>
  <si>
    <t>WhatsApp opt-in or template approval is not secured in time</t>
  </si>
  <si>
    <t>Start Business verification early; ship Slack first; keep WhatsApp feature-flagged off.</t>
  </si>
  <si>
    <t>R-015</t>
  </si>
  <si>
    <t>Channel secrets or webhook endpoints are misconfigured or exposed</t>
  </si>
  <si>
    <t>Security</t>
  </si>
  <si>
    <t>Security Architect</t>
  </si>
  <si>
    <t>Secrets stored as references only; signature verification; replay log; security test in H.7.</t>
  </si>
  <si>
    <t>R-016</t>
  </si>
  <si>
    <t>Slack app approval is delayed by the workspace owner</t>
  </si>
  <si>
    <t>Raise the app request in week 1; confirm scope H.1 early.</t>
  </si>
  <si>
    <t>Slack workspace owner approval for the OAN app</t>
  </si>
  <si>
    <t>Integration</t>
  </si>
  <si>
    <t>Confirm in week 1-2.</t>
  </si>
  <si>
    <t>WhatsApp Business account verification and approved templates</t>
  </si>
  <si>
    <t>Start verification early; templates approved before go-live.</t>
  </si>
  <si>
    <t>Secrets store available for channel credentials</t>
  </si>
  <si>
    <t>Confirm with IT in week 2.</t>
  </si>
  <si>
    <t>R-017</t>
  </si>
  <si>
    <t>Six cards are blocked on G0 (ADMIN bootstrap, Google OIDC client, staffing decision), holding up S1-S2 database and auth work</t>
  </si>
  <si>
    <t>Schedule / Resource</t>
  </si>
  <si>
    <t>High / High</t>
  </si>
  <si>
    <t>H</t>
  </si>
  <si>
    <t>Close the G0 items first and run the offline-authored database work in parallel so S1 starts unblocked</t>
  </si>
  <si>
    <t>End S0</t>
  </si>
  <si>
    <t>R-018</t>
  </si>
  <si>
    <t>The descope lane triggers if measured velocity falls below 20 pd per sprint</t>
  </si>
  <si>
    <t>M</t>
  </si>
  <si>
    <t>G-RB re-baselines after S2 and invokes the S11 descope lane, cutting from P4 upward</t>
  </si>
  <si>
    <t>End S2 (G-RB)</t>
  </si>
  <si>
    <t>R-019</t>
  </si>
  <si>
    <t>PROD APEX version policy is unresolved (dev runs 26.1.5 under Q32) and could force late rework</t>
  </si>
  <si>
    <t>Close the PROD version policy before S13; keep M.1 (APEXLang metadata migration) in scope</t>
  </si>
  <si>
    <t>S12</t>
  </si>
  <si>
    <t>R-020</t>
  </si>
  <si>
    <t>Gated build options (AI assistant, channels, Careers feed) slip if their DPIA annexes and external DPAs are not signed</t>
  </si>
  <si>
    <t>Compliance Officer</t>
  </si>
  <si>
    <t>Gate each option on its own annex: G-AI (end S3), G-CH (end S6), G-CF (end S7)</t>
  </si>
  <si>
    <t>R-021</t>
  </si>
  <si>
    <t>Slack app, WhatsApp Business app and the Meta/Slack DPAs sit on the critical path for the channel build in S7</t>
  </si>
  <si>
    <t>Procure both apps and start the DPAs during S0-S3 so S7 has verified accounts</t>
  </si>
  <si>
    <t>S6 (G-CH)</t>
  </si>
  <si>
    <t>R-022</t>
  </si>
  <si>
    <t>The 20% contingency may be insufficient if rework grows after the S14 pilot</t>
  </si>
  <si>
    <t>Cost</t>
  </si>
  <si>
    <t>Track actuals every sprint on the Sprint Performance Tracker and re-baseline at G-RB</t>
  </si>
  <si>
    <t>S14</t>
  </si>
  <si>
    <t>ADMIN run of the bootstrap to create schemas, grants, OAN_CTX and sign-in hosts (G0)</t>
  </si>
  <si>
    <t>DBA / ADMIN</t>
  </si>
  <si>
    <t>Script is ready; needs an ADMIN account run to complete</t>
  </si>
  <si>
    <t>Google OIDC client credentials to be provided by OAN (G0)</t>
  </si>
  <si>
    <t>Access</t>
  </si>
  <si>
    <t>OAN IT</t>
  </si>
  <si>
    <t>OAN to provide the client; blocks the social sign-in spikes (0.12)</t>
  </si>
  <si>
    <t>D-013</t>
  </si>
  <si>
    <t>OAN-owned compliance deliverables: DPIAs, DPAs, legal texts and the grievance officer</t>
  </si>
  <si>
    <t>OAN Compliance</t>
  </si>
  <si>
    <t>OAN-owned; gates G-AI, G-CH, G-CF and G4</t>
  </si>
  <si>
    <t>D-014</t>
  </si>
  <si>
    <t>Temporary 100k load-test ADB to be booked for the full load test (G2)</t>
  </si>
  <si>
    <t>Infrastructure</t>
  </si>
  <si>
    <t>Book before S8; used for the full load test in S9</t>
  </si>
  <si>
    <t>S8 (G2)</t>
  </si>
  <si>
    <t>Scoring and status key</t>
  </si>
  <si>
    <t>Probability</t>
  </si>
  <si>
    <t>High = &gt;60% likely | Medium = 20-60% | Low = &lt;20%</t>
  </si>
  <si>
    <t>High = major (cost, schedule, brand, compliance) | Medium = moderate | Low = minor</t>
  </si>
  <si>
    <t>Probability x Impact (High=3, Medium=2, Low=1); 6-9 = high priority, 3-5 = medium, 1-2 = low</t>
  </si>
  <si>
    <t>Open | In Progress | Mitigated | Closed | Escalated</t>
  </si>
  <si>
    <t>Review</t>
  </si>
  <si>
    <t>Reviewed weekly at PMO stand-up; high items reported to Steering Committee.</t>
  </si>
  <si>
    <t>Artefact Register - Plan Aligned to Deliverables</t>
  </si>
  <si>
    <t>Every programme artefact, its version, its owner and the plan workstream that produces it. This is how the plan stays aligned with the artefacts.</t>
  </si>
  <si>
    <t>Artefact ID</t>
  </si>
  <si>
    <t>Artefact</t>
  </si>
  <si>
    <t>Plan Workstream</t>
  </si>
  <si>
    <t>Governing FRs</t>
  </si>
  <si>
    <t>A-01</t>
  </si>
  <si>
    <t>Functional Specification (FSD)</t>
  </si>
  <si>
    <t>Document</t>
  </si>
  <si>
    <t>1.1</t>
  </si>
  <si>
    <t>FR-01 to FR-24</t>
  </si>
  <si>
    <t>Draft for review</t>
  </si>
  <si>
    <t>A-02</t>
  </si>
  <si>
    <t>Database schema (Oracle DDL)</t>
  </si>
  <si>
    <t>SQL</t>
  </si>
  <si>
    <t>AI Architect</t>
  </si>
  <si>
    <t>Data model for all FRs</t>
  </si>
  <si>
    <t>Ready for build</t>
  </si>
  <si>
    <t>A-03</t>
  </si>
  <si>
    <t>Data dictionary</t>
  </si>
  <si>
    <t>Spreadsheet</t>
  </si>
  <si>
    <t>Data Steward</t>
  </si>
  <si>
    <t>A-04</t>
  </si>
  <si>
    <t>Entity relationship diagram</t>
  </si>
  <si>
    <t>Diagram</t>
  </si>
  <si>
    <t>A-05</t>
  </si>
  <si>
    <t>OAN_CHAT_API package</t>
  </si>
  <si>
    <t>PL/SQL</t>
  </si>
  <si>
    <t>FR-01, FR-17, FR-23, FR-24</t>
  </si>
  <si>
    <t>Skeleton delivered</t>
  </si>
  <si>
    <t>A-06</t>
  </si>
  <si>
    <t>OAN_NOTIFY_API package</t>
  </si>
  <si>
    <t>FR-16, FR-23, FR-24</t>
  </si>
  <si>
    <t>A-07</t>
  </si>
  <si>
    <t>APEX Application Build Pack</t>
  </si>
  <si>
    <t>All FRs (build order)</t>
  </si>
  <si>
    <t>A-08</t>
  </si>
  <si>
    <t>APEX Build Tracker</t>
  </si>
  <si>
    <t>All FRs (page inventory)</t>
  </si>
  <si>
    <t>In use</t>
  </si>
  <si>
    <t>A-09</t>
  </si>
  <si>
    <t>CXO Build Plan and Build Order deck</t>
  </si>
  <si>
    <t>Presentation</t>
  </si>
  <si>
    <t>All FRs (executive view)</t>
  </si>
  <si>
    <t>For steering review</t>
  </si>
  <si>
    <t>A-10</t>
  </si>
  <si>
    <t>Project Plan (CPMAI)</t>
  </si>
  <si>
    <t>All FRs (delivery)</t>
  </si>
  <si>
    <t>A-11</t>
  </si>
  <si>
    <t>Delivery capacity</t>
  </si>
  <si>
    <t>A-12</t>
  </si>
  <si>
    <t>Delivery risk</t>
  </si>
  <si>
    <t>Live</t>
  </si>
  <si>
    <t>A-13</t>
  </si>
  <si>
    <t>Change &amp; Adoption Plan</t>
  </si>
  <si>
    <t>Adoption outcomes</t>
  </si>
  <si>
    <t>A-14</t>
  </si>
  <si>
    <t>OAN Portal Delivery Board (16 sprints, 11 gates, 154 tasks)</t>
  </si>
  <si>
    <t>Board</t>
  </si>
  <si>
    <t>V3.2 / it. 9</t>
  </si>
  <si>
    <t>Delivery control</t>
  </si>
  <si>
    <t>All 24 FRs (J-01..J-21)</t>
  </si>
  <si>
    <t>Baseline 13 Oct 2026</t>
  </si>
  <si>
    <t>A-15</t>
  </si>
  <si>
    <t>Gate Checklist (G0-G5, G-AI, G-CH, G-CF, G-RB, 8.0)</t>
  </si>
  <si>
    <t>V3.2</t>
  </si>
  <si>
    <t>Compliance and release gates</t>
  </si>
  <si>
    <t>A-16</t>
  </si>
  <si>
    <t>Kanban Board (154 tracked cards by status)</t>
  </si>
  <si>
    <t>All 24 FRs</t>
  </si>
  <si>
    <t>A-17</t>
  </si>
  <si>
    <t>Kanban Dashboard (flow, effort and priority metrics)</t>
  </si>
  <si>
    <t>Dashboard</t>
  </si>
  <si>
    <t>Delivery KPIs</t>
  </si>
  <si>
    <t>A-18</t>
  </si>
  <si>
    <t>Board Tasks register (id, task, category, pd, tier, status)</t>
  </si>
  <si>
    <t>A-19</t>
  </si>
  <si>
    <t>Sprint Planner Dashboard (capacity and performance charts)</t>
  </si>
  <si>
    <t>Capacity management</t>
  </si>
  <si>
    <t>A-20</t>
  </si>
  <si>
    <t>Sprint Roadmap (16 sprints S0-S15 and 11 gates)</t>
  </si>
  <si>
    <t>Plan</t>
  </si>
  <si>
    <t>Alignment rules</t>
  </si>
  <si>
    <t>- A change to any artefact updates its version here and re-runs the affected workstream tasks.</t>
  </si>
  <si>
    <t>- The Functional Specification governs every other artefact; the schema, packages and build pack must trace to it.</t>
  </si>
  <si>
    <t>- The build pack and build tracker are regenerated whenever a page, grid or API routine changes.</t>
  </si>
  <si>
    <t>- The CXO deck is refreshed from the build pack before every steering review.</t>
  </si>
  <si>
    <t>- The project plan, RAID log and capacity planner are updated weekly and at every gate.</t>
  </si>
  <si>
    <t>Sprint Capacity Planner - Oracle Alumni Network Portal</t>
  </si>
  <si>
    <t>Plans one sprint at a time. Pale-yellow cells are editable inputs; white cells calculate automatically.</t>
  </si>
  <si>
    <t>Design Systems / Front-end</t>
  </si>
  <si>
    <t>Back-end Engineer</t>
  </si>
  <si>
    <t>Accessibility / QA Lead</t>
  </si>
  <si>
    <t>Total</t>
  </si>
  <si>
    <t>SPRINT &amp; ASSUMPTIONS</t>
  </si>
  <si>
    <t>Sprint Planning</t>
  </si>
  <si>
    <t>Sprint Number</t>
  </si>
  <si>
    <t>S1 (Build)</t>
  </si>
  <si>
    <t>Backlog Grooming / Tasking</t>
  </si>
  <si>
    <t>Sprint Start Date</t>
  </si>
  <si>
    <t>Daily Stand-up</t>
  </si>
  <si>
    <t>Sprint End Date</t>
  </si>
  <si>
    <t>Sprint Retrospective</t>
  </si>
  <si>
    <t>Hours per Working Day</t>
  </si>
  <si>
    <t>Sprint Review</t>
  </si>
  <si>
    <t>Sprint Planning (hrs/person)</t>
  </si>
  <si>
    <t>Sprint Demo</t>
  </si>
  <si>
    <t>Backlog Grooming (hrs/person)</t>
  </si>
  <si>
    <t>Sub-total: Repeating Ceremonies</t>
  </si>
  <si>
    <t>Daily Standup (min/day)</t>
  </si>
  <si>
    <t>Adhoc Meetings</t>
  </si>
  <si>
    <t>Sprint Retrospective (hrs)</t>
  </si>
  <si>
    <t>Sub-total: Non-Scrum Meetings</t>
  </si>
  <si>
    <t>Sprint Review (hrs)</t>
  </si>
  <si>
    <t>Total Meeting Load</t>
  </si>
  <si>
    <t>Sprint Demo (hrs)</t>
  </si>
  <si>
    <t>Resource Allocation %</t>
  </si>
  <si>
    <t>Team</t>
  </si>
  <si>
    <t>Adhoc Meetings buffer (hrs/person)</t>
  </si>
  <si>
    <t>Total Available Time</t>
  </si>
  <si>
    <t>Holidays in this Sprint (days)</t>
  </si>
  <si>
    <t>Vacation / Leave (hrs)</t>
  </si>
  <si>
    <t>Avg Hours per Story Point</t>
  </si>
  <si>
    <t>Public Holiday (hrs)</t>
  </si>
  <si>
    <t>Planning Risk Buffer %</t>
  </si>
  <si>
    <t>Actual Available Hours</t>
  </si>
  <si>
    <t>Sprint Working Days (auto)</t>
  </si>
  <si>
    <t>Maturity / Ramp-up Level</t>
  </si>
  <si>
    <t>Factor</t>
  </si>
  <si>
    <t>Total Sprint Hours per FTE (auto)</t>
  </si>
  <si>
    <t>Hours Available for Sprint</t>
  </si>
  <si>
    <t>Story-Point Capacity</t>
  </si>
  <si>
    <t>Expected Team Velocity (SP)</t>
  </si>
  <si>
    <t>Risk-Adjusted Velocity (after buffer)</t>
  </si>
  <si>
    <t>Spill-Over Points from Previous Sprint</t>
  </si>
  <si>
    <t>Recommended Sprint Commitment (SP)</t>
  </si>
  <si>
    <t>Final Committed SP (team decision)</t>
  </si>
  <si>
    <t>Legend</t>
  </si>
  <si>
    <t>Pale yellow = editable input   |   White = calculated by formula</t>
  </si>
  <si>
    <t>Sprint Working Days is calculated with NETWORKDAYS from the sprint start and end dates, less holidays.</t>
  </si>
  <si>
    <t>Story-Point Capacity = Hours Available for Sprint / Avg Hours per Story Point.</t>
  </si>
  <si>
    <t>Recommended Sprint Commitment = Risk-Adjusted Velocity - Spill-Over Points. The team agrees the final number.</t>
  </si>
  <si>
    <t>Sprint Performance Tracker - Oracle Alumni Network Portal</t>
  </si>
  <si>
    <t>Logs every closed sprint. Completion, utilisation, 3-sprint trend and next-sprint forecast are calculated.</t>
  </si>
  <si>
    <t>Rows below are an ILLUSTRATIVE BASELINE carried from the attached planner - replace with your actual sprint data.</t>
  </si>
  <si>
    <t>Start Date</t>
  </si>
  <si>
    <t>End Date</t>
  </si>
  <si>
    <t>Holidays
(days)</t>
  </si>
  <si>
    <t>Working
Days</t>
  </si>
  <si>
    <t>Team Capacity
(SP)</t>
  </si>
  <si>
    <t>Committed
(SP)</t>
  </si>
  <si>
    <t>Delivered
(SP)</t>
  </si>
  <si>
    <t>Completion
%</t>
  </si>
  <si>
    <t>Capacity
Utilisation %</t>
  </si>
  <si>
    <t>3-Sprint Avg
Delivered</t>
  </si>
  <si>
    <t>Trend</t>
  </si>
  <si>
    <t>Sprint
Index</t>
  </si>
  <si>
    <t>Sprint 1</t>
  </si>
  <si>
    <t>—</t>
  </si>
  <si>
    <t>Sprint 2</t>
  </si>
  <si>
    <t>Sprint 3</t>
  </si>
  <si>
    <t>Sprint 4</t>
  </si>
  <si>
    <t>Sprint 5</t>
  </si>
  <si>
    <t>Sprint 6</t>
  </si>
  <si>
    <t>Sprint 7</t>
  </si>
  <si>
    <t>Sprint 8</t>
  </si>
  <si>
    <t>Sprint 9</t>
  </si>
  <si>
    <t>Sprint 10</t>
  </si>
  <si>
    <t>Sprint 11</t>
  </si>
  <si>
    <t>Sprint 12</t>
  </si>
  <si>
    <t>Trend &amp; forecast</t>
  </si>
  <si>
    <t>Velocity trend (SP gained per sprint)</t>
  </si>
  <si>
    <t>Next sprint forecast — delivered SP</t>
  </si>
  <si>
    <t>Average completion rate (all sprints)</t>
  </si>
  <si>
    <t>Average capacity utilisation (all sprints)</t>
  </si>
  <si>
    <t>Live dashboard</t>
  </si>
  <si>
    <t>Current sprint capacity (SP)</t>
  </si>
  <si>
    <t>Risk-adjusted capacity (SP)</t>
  </si>
  <si>
    <t>Recommended commitment (SP)</t>
  </si>
  <si>
    <t>Average completion rate</t>
  </si>
  <si>
    <t>Next sprint forecast (SP)</t>
  </si>
  <si>
    <t>Resource hours — current sprint (from the Capacity Planner)</t>
  </si>
  <si>
    <t>Hours Available</t>
  </si>
  <si>
    <t>Allocation %</t>
  </si>
  <si>
    <t>Maturity</t>
  </si>
  <si>
    <t>Resource 1</t>
  </si>
  <si>
    <t>Resource 2</t>
  </si>
  <si>
    <t>Resource 3</t>
  </si>
  <si>
    <t>Resource 4</t>
  </si>
  <si>
    <t>Resource 5</t>
  </si>
  <si>
    <t>Resource 6</t>
  </si>
  <si>
    <t>Resource 7</t>
  </si>
  <si>
    <t>Resource 8</t>
  </si>
  <si>
    <t>Resource 9</t>
  </si>
  <si>
    <t>Resource 10</t>
  </si>
  <si>
    <t>Sprint Roadmap - 16 Sprints S0-S15 and the 11 Gates</t>
  </si>
  <si>
    <t>Sprint sequence from the attached delivery board (Plan V3.2, iteration 9). Capacity per sprint is planned on the Sprint Capacity Planner.</t>
  </si>
  <si>
    <t>Sprint Window</t>
  </si>
  <si>
    <t>Focus / Screens</t>
  </si>
  <si>
    <t>Key Deliverable</t>
  </si>
  <si>
    <t>Exit / Gate</t>
  </si>
  <si>
    <t>19-30 Oct 2026</t>
  </si>
  <si>
    <t>Phase 1-4 (setup)</t>
  </si>
  <si>
    <t>Toolchain, spikes, migrations; design system and 8 core screens continue in parallel</t>
  </si>
  <si>
    <t>Toolchain ready, migrations validated</t>
  </si>
  <si>
    <t>2-13 Nov 2026</t>
  </si>
  <si>
    <t>Phase 5 (Deployment)</t>
  </si>
  <si>
    <t>First shared DB deploy - DDL, security, auth packages</t>
  </si>
  <si>
    <t>db-baseline-v1 deployed</t>
  </si>
  <si>
    <t>S2</t>
  </si>
  <si>
    <t>16-27 Nov 2026</t>
  </si>
  <si>
    <t>DB tests, W0 auth + admin pages</t>
  </si>
  <si>
    <t>W0 pages and DB tests green</t>
  </si>
  <si>
    <t>G1, G-RB</t>
  </si>
  <si>
    <t>S3</t>
  </si>
  <si>
    <t>30 Nov-11 Dec 2026</t>
  </si>
  <si>
    <t>W0 onboarding, W1 shell</t>
  </si>
  <si>
    <t>Onboarding and shell live in DEV</t>
  </si>
  <si>
    <t>G-AI</t>
  </si>
  <si>
    <t>S4</t>
  </si>
  <si>
    <t>14-25 Dec 2026</t>
  </si>
  <si>
    <t>W2 profile + directory tables and index</t>
  </si>
  <si>
    <t>Profile and directory foundation</t>
  </si>
  <si>
    <t>S5</t>
  </si>
  <si>
    <t>28 Dec 2026-8 Jan 2027</t>
  </si>
  <si>
    <t>W2 CV and privacy; product-owner demo 1</t>
  </si>
  <si>
    <t>My CV + current work profile (pages 24, 25)</t>
  </si>
  <si>
    <t>S6</t>
  </si>
  <si>
    <t>11-22 Jan 2027</t>
  </si>
  <si>
    <t>W3 content, W4 messaging package</t>
  </si>
  <si>
    <t>Content and messaging live</t>
  </si>
  <si>
    <t>G-CH</t>
  </si>
  <si>
    <t>S7</t>
  </si>
  <si>
    <t>25 Jan-5 Feb 2027</t>
  </si>
  <si>
    <t>W4 channels, W5 organisations</t>
  </si>
  <si>
    <t>Slack + WhatsApp channels (page 43)</t>
  </si>
  <si>
    <t>G-CF</t>
  </si>
  <si>
    <t>S8</t>
  </si>
  <si>
    <t>8-19 Feb 2027</t>
  </si>
  <si>
    <t>W5 jobs, helpdesk, W6 experts; demo 2</t>
  </si>
  <si>
    <t>Jobs, helpdesk and expert network</t>
  </si>
  <si>
    <t>G2</t>
  </si>
  <si>
    <t>S9</t>
  </si>
  <si>
    <t>22 Feb-5 Mar 2027</t>
  </si>
  <si>
    <t>W6 groups, partner workspace, mentoring</t>
  </si>
  <si>
    <t>Community and partner surface</t>
  </si>
  <si>
    <t>S10</t>
  </si>
  <si>
    <t>8-19 Mar 2027</t>
  </si>
  <si>
    <t>W6 training, initiatives; demo 3; buffer</t>
  </si>
  <si>
    <t>Training and initiatives</t>
  </si>
  <si>
    <t>G3</t>
  </si>
  <si>
    <t>S11</t>
  </si>
  <si>
    <t>22 Mar-2 Apr 2027</t>
  </si>
  <si>
    <t>W7 reports; descope lane active</t>
  </si>
  <si>
    <t>Admin dashboard and analytics</t>
  </si>
  <si>
    <t>5-16 Apr 2027</t>
  </si>
  <si>
    <t>Phase 5 (Hardening)</t>
  </si>
  <si>
    <t>Load, WCAG 2.2 AA, security, full UAT</t>
  </si>
  <si>
    <t>Full AC regression and UAT sign-off</t>
  </si>
  <si>
    <t>G4, G5</t>
  </si>
  <si>
    <t>S13</t>
  </si>
  <si>
    <t>19-30 Apr 2027</t>
  </si>
  <si>
    <t>Phase 5 (Release)</t>
  </si>
  <si>
    <t>Gate 8.0 and PROD release</t>
  </si>
  <si>
    <t>Production go-live</t>
  </si>
  <si>
    <t>8.0</t>
  </si>
  <si>
    <t>3-14 May 2027</t>
  </si>
  <si>
    <t>Phase 6 (Monitoring)</t>
  </si>
  <si>
    <t>Pilot ~50 members, every staff role, &gt;= 3 orgs</t>
  </si>
  <si>
    <t>Pilot validated</t>
  </si>
  <si>
    <t>S15</t>
  </si>
  <si>
    <t>17-28 May 2027</t>
  </si>
  <si>
    <t>Hypercare (2 weeks) and handover</t>
  </si>
  <si>
    <t>Handover + v1.x backlog</t>
  </si>
  <si>
    <t>S0 is the setup sprint, with the design system and 8 core screens proceeding in parallel. Build sprints are 2 weeks, planned with velocity-based capacity and a planning-risk buffer. S11 carries the descope lane; S12-S15 cover hardening, go-live, pilot and hypercare.</t>
  </si>
  <si>
    <t>Board Tasks - the 154 tracked cards behind the Kanban</t>
  </si>
  <si>
    <t>One row per card on the attached delivery board. The Kanban Board and Kanban Dashboard read this sheet.</t>
  </si>
  <si>
    <t>Task</t>
  </si>
  <si>
    <t>0.20</t>
  </si>
  <si>
    <t>ORDS install: OAN_API schema, channel modules</t>
  </si>
  <si>
    <t>Traceability + Must/Should/Could AC tags</t>
  </si>
  <si>
    <t>5.1</t>
  </si>
  <si>
    <t>Full AC regression + evidence pack</t>
  </si>
  <si>
    <t>5.10</t>
  </si>
  <si>
    <t>J-01..J-21 end-to-end regression</t>
  </si>
  <si>
    <t>5.2</t>
  </si>
  <si>
    <t>Security test (ZAP, bypass, leaks)</t>
  </si>
  <si>
    <t>5.3a</t>
  </si>
  <si>
    <t>100k directory smoke test</t>
  </si>
  <si>
    <t>5.3b</t>
  </si>
  <si>
    <t>Full load test on temporary ADB</t>
  </si>
  <si>
    <t>5.3c</t>
  </si>
  <si>
    <t>Load test re-run</t>
  </si>
  <si>
    <t>5.4</t>
  </si>
  <si>
    <t>Full WCAG 2.2 AA audit</t>
  </si>
  <si>
    <t>5.4a</t>
  </si>
  <si>
    <t>First WCAG 2.2 pass</t>
  </si>
  <si>
    <t>5.5</t>
  </si>
  <si>
    <t>Restore test, RPO/RTO</t>
  </si>
  <si>
    <t>5.6</t>
  </si>
  <si>
    <t>OCI Health Checks</t>
  </si>
  <si>
    <t>Security and privacy test matrix</t>
  </si>
  <si>
    <t>5.8</t>
  </si>
  <si>
    <t>Test identities per role and context</t>
  </si>
  <si>
    <t>5.9</t>
  </si>
  <si>
    <t>FR-34 usability test (5 alumni)</t>
  </si>
  <si>
    <t>6.3a</t>
  </si>
  <si>
    <t>Synthetic content import rehearsal</t>
  </si>
  <si>
    <t>Content &amp; adoption</t>
  </si>
  <si>
    <t>6.3b</t>
  </si>
  <si>
    <t>Content import into PROD</t>
  </si>
  <si>
    <t>6.8</t>
  </si>
  <si>
    <t>&gt;= 3 partner orgs verified for pilot</t>
  </si>
  <si>
    <t>7.1a</t>
  </si>
  <si>
    <t>Core DPIA + RoPA (incl. antivirus risk)</t>
  </si>
  <si>
    <t>7.1b</t>
  </si>
  <si>
    <t>DPIA annex: AI assistant</t>
  </si>
  <si>
    <t>7.1c</t>
  </si>
  <si>
    <t>DPIA annex: channels</t>
  </si>
  <si>
    <t>7.1d</t>
  </si>
  <si>
    <t>DPIA annex: Careers feed</t>
  </si>
  <si>
    <t>7.2a</t>
  </si>
  <si>
    <t>DPAs: OCI, Google, LinkedIn, email</t>
  </si>
  <si>
    <t>7.2b</t>
  </si>
  <si>
    <t>DPA: GenAI provider</t>
  </si>
  <si>
    <t>7.2c</t>
  </si>
  <si>
    <t>DPAs: Slack, Meta</t>
  </si>
  <si>
    <t>7.3</t>
  </si>
  <si>
    <t>Legal texts incl. partner, channel, HR notices</t>
  </si>
  <si>
    <t>7.4</t>
  </si>
  <si>
    <t>Grievance officer, breach runbook</t>
  </si>
  <si>
    <t>7.5</t>
  </si>
  <si>
    <t>Owners, access policy, Q6 + EXPERT/TRAINER confirmation</t>
  </si>
  <si>
    <t>Go-live gate (18 checks)</t>
  </si>
  <si>
    <t>Release</t>
  </si>
  <si>
    <t>8.1</t>
  </si>
  <si>
    <t>Provision PROD + rehearsed deploy</t>
  </si>
  <si>
    <t>8.2</t>
  </si>
  <si>
    <t>Seed chapters, assign attested admins</t>
  </si>
  <si>
    <t>8.3</t>
  </si>
  <si>
    <t>Pilot: ~50 members, every staff role, &gt;= 3 orgs</t>
  </si>
  <si>
    <t>8.4</t>
  </si>
  <si>
    <t>Exit review kickoff</t>
  </si>
  <si>
    <t>8.5</t>
  </si>
  <si>
    <t>Load legal texts v1</t>
  </si>
  <si>
    <t>8.7</t>
  </si>
  <si>
    <t>KPI baseline plan (go-live + 3 months)</t>
  </si>
  <si>
    <t>9.1</t>
  </si>
  <si>
    <t>UAT plan by role and journey</t>
  </si>
  <si>
    <t>Acceptance</t>
  </si>
  <si>
    <t>9.2</t>
  </si>
  <si>
    <t>Final UAT sign-off (G5)</t>
  </si>
  <si>
    <t>9.2a</t>
  </si>
  <si>
    <t>Product-owner demo: W0-W2</t>
  </si>
  <si>
    <t>9.2b</t>
  </si>
  <si>
    <t>Product-owner demo: W3-W5</t>
  </si>
  <si>
    <t>9.2c</t>
  </si>
  <si>
    <t>Product-owner demo: W6</t>
  </si>
  <si>
    <t>9.3-9.5</t>
  </si>
  <si>
    <t>Admin guide, member FAQ, runbook</t>
  </si>
  <si>
    <t>9.6</t>
  </si>
  <si>
    <t>Go-live checklist, rollback, smoke test</t>
  </si>
  <si>
    <t>9.7</t>
  </si>
  <si>
    <t>Hypercare (2 weeks)</t>
  </si>
  <si>
    <t>9.8</t>
  </si>
  <si>
    <t>W0.16</t>
  </si>
  <si>
    <t>Terms versions, deny-list, breached passwords</t>
  </si>
  <si>
    <t>W0 Auth &amp; admin</t>
  </si>
  <si>
    <t>W0.17</t>
  </si>
  <si>
    <t>Health pages</t>
  </si>
  <si>
    <t>W0.20</t>
  </si>
  <si>
    <t>Build Option wiring + enable_feature</t>
  </si>
  <si>
    <t>W6.2</t>
  </si>
  <si>
    <t>Experts + expert requests (Page 63, J-14)</t>
  </si>
  <si>
    <t>W6 Community &amp; partners</t>
  </si>
  <si>
    <t>P3</t>
  </si>
  <si>
    <t>W6.3</t>
  </si>
  <si>
    <t>Mentoring + sessions (Page 65, J-05)</t>
  </si>
  <si>
    <t>W6.4</t>
  </si>
  <si>
    <t>Training, enrolment, mock projects (Page 67, J-06, J-13)</t>
  </si>
  <si>
    <t>W6.5</t>
  </si>
  <si>
    <t>Partner workspace: talent requests, feedback (Page 70, J-09..J-19)</t>
  </si>
  <si>
    <t>W6.6</t>
  </si>
  <si>
    <t>Chapters pages (Page 74)</t>
  </si>
  <si>
    <t>W6.7</t>
  </si>
  <si>
    <t>Marketplace (descope lane, Page 75, Could)</t>
  </si>
  <si>
    <t>W6.8</t>
  </si>
  <si>
    <t>Initiatives + success stories (Pages 77, 78, J-07)</t>
  </si>
  <si>
    <t>W6.9</t>
  </si>
  <si>
    <t>Recognition and badges (descope lane, Could)</t>
  </si>
  <si>
    <t>W7.1</t>
  </si>
  <si>
    <t>Admin dashboard with 6 goal KPIs (Page 100)</t>
  </si>
  <si>
    <t>W7 Reporting</t>
  </si>
  <si>
    <t>P2</t>
  </si>
  <si>
    <t>W7.2</t>
  </si>
  <si>
    <t>Reports &amp; analytics, exports (Page 1085)</t>
  </si>
  <si>
    <t>W7.3</t>
  </si>
  <si>
    <t>Config + job runs (Pages 122, 123)</t>
  </si>
  <si>
    <t>W0.15</t>
  </si>
  <si>
    <t>Audit log, report modal, my decisions</t>
  </si>
  <si>
    <t>W0.18</t>
  </si>
  <si>
    <t>Shared components + security baseline</t>
  </si>
  <si>
    <t>W2.10</t>
  </si>
  <si>
    <t>Profile update + privacy request admin (Page 121)</t>
  </si>
  <si>
    <t>W2 Profile &amp; directory</t>
  </si>
  <si>
    <t>W2.9</t>
  </si>
  <si>
    <t>Account settings + privacy centre</t>
  </si>
  <si>
    <t>W3.5</t>
  </si>
  <si>
    <t>Library moderation, import, events admin</t>
  </si>
  <si>
    <t>W3 Content &amp; events</t>
  </si>
  <si>
    <t>W5.1</t>
  </si>
  <si>
    <t>Organisations: application, verification (Pages 55, 1025)</t>
  </si>
  <si>
    <t>W5 Jobs &amp; helpdesk</t>
  </si>
  <si>
    <t>W5.7</t>
  </si>
  <si>
    <t>Careers deep-links (feed gated, G-CF)</t>
  </si>
  <si>
    <t>W6.1</t>
  </si>
  <si>
    <t>Groups governance, reactions, stories, private search</t>
  </si>
  <si>
    <t>OAN_LU_CODE intents with live_yn</t>
  </si>
  <si>
    <t>W0.10</t>
  </si>
  <si>
    <t>Approval queue + application review</t>
  </si>
  <si>
    <t>W0.11</t>
  </si>
  <si>
    <t>Members, staff roles, scopes</t>
  </si>
  <si>
    <t>W0.12</t>
  </si>
  <si>
    <t>Chapters + chapter requests</t>
  </si>
  <si>
    <t>W0.13</t>
  </si>
  <si>
    <t>Lookups / taxonomy admin</t>
  </si>
  <si>
    <t>W0.14</t>
  </si>
  <si>
    <t>Moderation queue + appeals</t>
  </si>
  <si>
    <t>W0.21</t>
  </si>
  <si>
    <t>OAN_CHAT_API + OAN_NOTIFY_API (Build Pack contracts)</t>
  </si>
  <si>
    <t>W0.22</t>
  </si>
  <si>
    <t>Build Pack conventions: AI_ items, IS_* names, Build Pack options</t>
  </si>
  <si>
    <t>W0.9</t>
  </si>
  <si>
    <t>AI assistant (read-only, opt-in)</t>
  </si>
  <si>
    <t>Gated by Build Option</t>
  </si>
  <si>
    <t>W4.4a</t>
  </si>
  <si>
    <t>Slack channel</t>
  </si>
  <si>
    <t>W4 Messaging &amp; channels</t>
  </si>
  <si>
    <t>W4.4b</t>
  </si>
  <si>
    <t>WhatsApp channel + channel settings (Page 43)</t>
  </si>
  <si>
    <t>W0.1</t>
  </si>
  <si>
    <t>Login, create account, confirm email, reset password</t>
  </si>
  <si>
    <t>W0.19</t>
  </si>
  <si>
    <t>Suggest term, request a chapter</t>
  </si>
  <si>
    <t>W0.2</t>
  </si>
  <si>
    <t>Welcome, legal, IP report</t>
  </si>
  <si>
    <t>W0.3</t>
  </si>
  <si>
    <t>Application status, re-accept terms</t>
  </si>
  <si>
    <t>W0.4</t>
  </si>
  <si>
    <t>Link existing account, confirm identity</t>
  </si>
  <si>
    <t>W0.5</t>
  </si>
  <si>
    <t>Membership application</t>
  </si>
  <si>
    <t>W0.6</t>
  </si>
  <si>
    <t>Access denied</t>
  </si>
  <si>
    <t>W0.7</t>
  </si>
  <si>
    <t>oan_chat_pkg onboarding logic</t>
  </si>
  <si>
    <t>W0.8</t>
  </si>
  <si>
    <t>Onboarding conversation (Page 2)</t>
  </si>
  <si>
    <t>W1.1</t>
  </si>
  <si>
    <t>Global page: rail, profile card, badge, search</t>
  </si>
  <si>
    <t>W1 Shell</t>
  </si>
  <si>
    <t>W1.2</t>
  </si>
  <si>
    <t>Home: greeting, letters carousel, What's new, route cards</t>
  </si>
  <si>
    <t>W1.3</t>
  </si>
  <si>
    <t>Global search results (Page 19)</t>
  </si>
  <si>
    <t>W2.1</t>
  </si>
  <si>
    <t>Profile, CV and career-status tables</t>
  </si>
  <si>
    <t>W2.11</t>
  </si>
  <si>
    <t>Profile-update nudge (08:00 local)</t>
  </si>
  <si>
    <t>W2.2</t>
  </si>
  <si>
    <t>Profile package extensions</t>
  </si>
  <si>
    <t>W2.3</t>
  </si>
  <si>
    <t>Directory index (sync tightening, 2-min refresh)</t>
  </si>
  <si>
    <t>W2.4</t>
  </si>
  <si>
    <t>My profile + member profile</t>
  </si>
  <si>
    <t>W2.5</t>
  </si>
  <si>
    <t>Directory search + results (Pages 20, 21)</t>
  </si>
  <si>
    <t>W2.6</t>
  </si>
  <si>
    <t>My CV + current work profile (Pages 24, 25, J-20)</t>
  </si>
  <si>
    <t>W2.7</t>
  </si>
  <si>
    <t>CV share/revoke, last 3 versions</t>
  </si>
  <si>
    <t>W2.8</t>
  </si>
  <si>
    <t>Connections: connect, follow, block (Page 28)</t>
  </si>
  <si>
    <t>W3.1</t>
  </si>
  <si>
    <t>Insights and article rules, saves, views</t>
  </si>
  <si>
    <t>W3.2</t>
  </si>
  <si>
    <t>Library, item, submit, saved, tag follow</t>
  </si>
  <si>
    <t>W3.3</t>
  </si>
  <si>
    <t>Events package: capacity, waitlist, .ics</t>
  </si>
  <si>
    <t>W3.4</t>
  </si>
  <si>
    <t>Events + event detail (Build Pack content pages 30-33)</t>
  </si>
  <si>
    <t>W3.6</t>
  </si>
  <si>
    <t>Event reminders (07:00 local)</t>
  </si>
  <si>
    <t>W4.1</t>
  </si>
  <si>
    <t>Messaging package + message search index</t>
  </si>
  <si>
    <t>W4.2</t>
  </si>
  <si>
    <t>Conversations (two-pane, polling) (Page 40)</t>
  </si>
  <si>
    <t>W4.3</t>
  </si>
  <si>
    <t>Notifications per channel; centre, preferences, unsubscribe</t>
  </si>
  <si>
    <t>W4.5</t>
  </si>
  <si>
    <t>Introductions + Help-Me-Connect (Page 29)</t>
  </si>
  <si>
    <t>W5.2</t>
  </si>
  <si>
    <t>Jobs, opportunity feed, applications (Pages 50-55, J-01, J-18)</t>
  </si>
  <si>
    <t>W5.3</t>
  </si>
  <si>
    <t>Referral request (Page 33, J-08)</t>
  </si>
  <si>
    <t>W5.4</t>
  </si>
  <si>
    <t>Helpdesk; HR documents signpost only (no HR brokering, Q29)</t>
  </si>
  <si>
    <t>W5.5</t>
  </si>
  <si>
    <t>Skills &amp; demand insights (Page 56, J-02, J-03)</t>
  </si>
  <si>
    <t>W5.6</t>
  </si>
  <si>
    <t>Hourly SLA job</t>
  </si>
  <si>
    <t>OAN Portal Delivery Board - 16 Sprints, 11 Gates (Plan V3.2, Iteration 9, 13 Oct 2026)</t>
  </si>
  <si>
    <t>Source: attached OAN-Delivery-Board-landscape.pdf. APEX Build Pack V1.1 (Q31) - APEX 26.1.5 (Q32) - no Oracle HR brokering (Q29) - no Oracle logos (Q30). Card status comes from task_plan.md in the GitHub repository.</t>
  </si>
  <si>
    <t>Board in numbers</t>
  </si>
  <si>
    <t>Sprints</t>
  </si>
  <si>
    <t>Gates</t>
  </si>
  <si>
    <t>Tracked tasks</t>
  </si>
  <si>
    <t>Dev estimate</t>
  </si>
  <si>
    <t>Done or authored offline</t>
  </si>
  <si>
    <t>Planned end of S15</t>
  </si>
  <si>
    <t>28 May 2027</t>
  </si>
  <si>
    <t>S0-S15</t>
  </si>
  <si>
    <t>incl. go-live 8.0</t>
  </si>
  <si>
    <t>on the board</t>
  </si>
  <si>
    <t>person-days pd</t>
  </si>
  <si>
    <t>iteration 23</t>
  </si>
  <si>
    <t>mostly on G0</t>
  </si>
  <si>
    <t>Sprints, S0-S15</t>
  </si>
  <si>
    <t>Window</t>
  </si>
  <si>
    <t>Phase</t>
  </si>
  <si>
    <t>Theme and scope</t>
  </si>
  <si>
    <t>Tasks</t>
  </si>
  <si>
    <t>Gate(s)</t>
  </si>
  <si>
    <t>SETUP</t>
  </si>
  <si>
    <t>Toolchain, spikes, migrations</t>
  </si>
  <si>
    <t>BUILD</t>
  </si>
  <si>
    <t>First shared DB deploy</t>
  </si>
  <si>
    <t>DB tests, W0 auth + admin</t>
  </si>
  <si>
    <t>W2 profile + directory</t>
  </si>
  <si>
    <t>W2 CV, privacy; demo 1</t>
  </si>
  <si>
    <t>W3 content, W4 messaging</t>
  </si>
  <si>
    <t>W4 channels, W5 orgs</t>
  </si>
  <si>
    <t>W6 groups, partners, mentoring</t>
  </si>
  <si>
    <t>BUILD + DESCOPE</t>
  </si>
  <si>
    <t>W7 reports; descope lane</t>
  </si>
  <si>
    <t>HARDENING + UAT</t>
  </si>
  <si>
    <t>Load, WCAG, security, UAT</t>
  </si>
  <si>
    <t>GO-LIVE GATE</t>
  </si>
  <si>
    <t>Gate 8.0, PROD release</t>
  </si>
  <si>
    <t>PILOT</t>
  </si>
  <si>
    <t>HYPERCARE</t>
  </si>
  <si>
    <t>Hypercare + handover</t>
  </si>
  <si>
    <t>Progress by workstream (iteration 23)</t>
  </si>
  <si>
    <t>Workstream</t>
  </si>
  <si>
    <t>Progress</t>
  </si>
  <si>
    <t>WS0 Environment</t>
  </si>
  <si>
    <t>WS1 Database</t>
  </si>
  <si>
    <t>W1 Shell &amp; Home</t>
  </si>
  <si>
    <t>W3 Insights &amp; events</t>
  </si>
  <si>
    <t>W4 Conversations</t>
  </si>
  <si>
    <t>W5 Opportunities</t>
  </si>
  <si>
    <t>All workstreams</t>
  </si>
  <si>
    <t>Board status legend (left border colour on the attached board)</t>
  </si>
  <si>
    <t>On the attached board</t>
  </si>
  <si>
    <t>Not begun; open in a future sprint.</t>
  </si>
  <si>
    <t>Grey</t>
  </si>
  <si>
    <t>Actively being worked this sprint.</t>
  </si>
  <si>
    <t>Written and validated locally; not yet deployed.</t>
  </si>
  <si>
    <t>Blue</t>
  </si>
  <si>
    <t>Cannot proceed; mostly waiting on G0 (ADMIN bootstrap, OAuth client).</t>
  </si>
  <si>
    <t>Built with the Build Option on in DEV; switched on in PROD only after DPIA sign-off and the external gate.</t>
  </si>
  <si>
    <t>Purple</t>
  </si>
  <si>
    <t>Complete and accepted.</t>
  </si>
  <si>
    <t>- Estimates are developer person-days (pd) before the 20% contingency.</t>
  </si>
  <si>
    <t>- Gated items are built with their Build Option on in DEV only, and switched on in PROD only after the DPIA sign-off and the external gate.</t>
  </si>
  <si>
    <t>- Planned end of S15 is 28 May 2027.</t>
  </si>
  <si>
    <t>Gate Checklist - 11 Gates incl. Go-Live 8.0</t>
  </si>
  <si>
    <t>Every gate, its due date, its status and the condition that must be met. Gates are explicit decision points: no gate is passed without its condition.</t>
  </si>
  <si>
    <t>Due</t>
  </si>
  <si>
    <t>Condition</t>
  </si>
  <si>
    <t>End S0 - 19-30 Oct</t>
  </si>
  <si>
    <t>Done: toolchain, dev ADB aiatp on APEX 26.1.5 (Q32), ADMIN bootstrap, install, utPLSQL, spikes (13 Oct); app 200 live on dev with 51 pages (14 Oct). Open: Google OAuth set aside (Q33), staffing decision.</t>
  </si>
  <si>
    <t>End S2 - 16-27 Nov</t>
  </si>
  <si>
    <t>Content inventory + owner; product owner signs off the Must/Should/Could AC list.</t>
  </si>
  <si>
    <t>G-RB</t>
  </si>
  <si>
    <t>Re-baseline: S1-S2 velocity and offline-rework actuals vs plan; invoke descope lane if &lt; 20 pd/sprint.</t>
  </si>
  <si>
    <t>End S3 - 30 Nov-11 Dec</t>
  </si>
  <si>
    <t>AI_ASSISTANT DPIA annex + GenAI DPA signed.</t>
  </si>
  <si>
    <t>End S6 - 11-22 Jan</t>
  </si>
  <si>
    <t>Slack app, WhatsApp Business + templates, Slack/Meta DPAs, CHANNELS DPIA annex.</t>
  </si>
  <si>
    <t>End S7 - 25 Jan-5 Feb</t>
  </si>
  <si>
    <t>CAREERS_FEED DPIA annex + feed terms.</t>
  </si>
  <si>
    <t>End S8 - 8-19 Feb</t>
  </si>
  <si>
    <t>Region decided; temporary 100k load-test ADB booked.</t>
  </si>
  <si>
    <t>End S10 - 8-19 Mar</t>
  </si>
  <si>
    <t>All staff-role holders named with IdP + 2-step verification; &gt;= 3 pilot orgs verified.</t>
  </si>
  <si>
    <t>G4</t>
  </si>
  <si>
    <t>End S12 - 5-16 Apr</t>
  </si>
  <si>
    <t>Legal texts, privacy contact, compliance workstream complete.</t>
  </si>
  <si>
    <t>G5</t>
  </si>
  <si>
    <t>Final UAT (J-01..J-21 regression) signed by the product owner.</t>
  </si>
  <si>
    <t>S13 - 19-30 Apr</t>
  </si>
  <si>
    <t>Go-live gate: 18 checks incl. DPIA per option, secrets, ORDS exposure, every Must AC.</t>
  </si>
  <si>
    <t>Gate groups</t>
  </si>
  <si>
    <t>Build-option gates (G-AI, G-CH, G-CF)</t>
  </si>
  <si>
    <t>Each gated Build Option needs its own DPIA annex and its external agreement signed before it is switched on in PROD.</t>
  </si>
  <si>
    <t>Re-baseline gate (G-RB)</t>
  </si>
  <si>
    <t>Invokes the descope lane if measured velocity falls below 20 pd per sprint across S1-S2.</t>
  </si>
  <si>
    <t>Release gates (G4, G5, 8.0)</t>
  </si>
  <si>
    <t>Compliance complete, final UAT signed, then the 18-check go-live gate.</t>
  </si>
  <si>
    <t>Post-go-live (S14 pilot, S15 hypercare)</t>
  </si>
  <si>
    <t>Pilot with ~50 members covering every staff role and &gt;= 3 partner organisations, then two weeks of hypercare and handover.</t>
  </si>
  <si>
    <t>Delivery Kanban - OAN Portal Build Backlog by Status</t>
  </si>
  <si>
    <t>One card per work item, in the six status columns of the attached delivery board. Columns run Not started &gt; In progress &gt; Authored offline &gt; Blocked &gt; Gated &gt; Done. Full card list on the Board Tasks tab.</t>
  </si>
  <si>
    <t>0.16a  1.5 pd</t>
  </si>
  <si>
    <t>0.15  1.0 pd</t>
  </si>
  <si>
    <t>1.32  0.5 pd</t>
  </si>
  <si>
    <t>0.12  1.0 pd</t>
  </si>
  <si>
    <t>W0.9  3.0 pd</t>
  </si>
  <si>
    <t>0.1  0.5 pd</t>
  </si>
  <si>
    <t>Environment  |  P0</t>
  </si>
  <si>
    <t>Database  |  P1</t>
  </si>
  <si>
    <t>W0 Auth &amp; admin  |  P4</t>
  </si>
  <si>
    <t>0.16c  0.5 pd</t>
  </si>
  <si>
    <t>0.9  2.5 pd</t>
  </si>
  <si>
    <t>M.2  3.5 pd</t>
  </si>
  <si>
    <t>0.17  1.5 pd</t>
  </si>
  <si>
    <t>W4.4a  6.0 pd</t>
  </si>
  <si>
    <t>0.10  0.25 pd</t>
  </si>
  <si>
    <t>Migration  |  P1</t>
  </si>
  <si>
    <t>Environment  |  P4</t>
  </si>
  <si>
    <t>W4 Messaging &amp; channels  |  P4</t>
  </si>
  <si>
    <t>0.18  0.5 pd</t>
  </si>
  <si>
    <t>1.23  1.5 pd</t>
  </si>
  <si>
    <t>W0.10  2.0 pd</t>
  </si>
  <si>
    <t>0.6  0.5 pd</t>
  </si>
  <si>
    <t>W4.4b  6.0 pd</t>
  </si>
  <si>
    <t>0.11  1.0 pd</t>
  </si>
  <si>
    <t>Database  |  P0</t>
  </si>
  <si>
    <t>W0 Auth &amp; admin  |  P0</t>
  </si>
  <si>
    <t>0.19  OAN</t>
  </si>
  <si>
    <t>1.26  4.0 pd</t>
  </si>
  <si>
    <t>W0.11  3.0 pd</t>
  </si>
  <si>
    <t>0.13  0.5 pd</t>
  </si>
  <si>
    <t>0.1b  1.0 pd</t>
  </si>
  <si>
    <t>1.28  2.5 pd</t>
  </si>
  <si>
    <t>W0.12  1.5 pd</t>
  </si>
  <si>
    <t>0.14  0.5 pd</t>
  </si>
  <si>
    <t>0.20  1.0 pd</t>
  </si>
  <si>
    <t>W0.15  2.0 pd</t>
  </si>
  <si>
    <t>W0.13  2.0 pd</t>
  </si>
  <si>
    <t>0.16b  0.75 pd</t>
  </si>
  <si>
    <t>0.7  0.5 pd</t>
  </si>
  <si>
    <t>W0.18  7.5 pd</t>
  </si>
  <si>
    <t>W0.14  2.5 pd</t>
  </si>
  <si>
    <t>0.2  0.5 pd</t>
  </si>
  <si>
    <t>1.29  1.5 pd</t>
  </si>
  <si>
    <t>W2.10  2.5 pd</t>
  </si>
  <si>
    <t>W0.21  2.0 pd</t>
  </si>
  <si>
    <t>0.3  1.0 pd</t>
  </si>
  <si>
    <t>W2 Profile &amp; directory  |  P0</t>
  </si>
  <si>
    <t>5.1  4.0 pd</t>
  </si>
  <si>
    <t>W2.9  5.0 pd</t>
  </si>
  <si>
    <t>W0.22  0.75 pd</t>
  </si>
  <si>
    <t>0.4  0.5 pd</t>
  </si>
  <si>
    <t>Quality  |  P0</t>
  </si>
  <si>
    <t>5.10  3.0 pd</t>
  </si>
  <si>
    <t>W3.5  5.0 pd</t>
  </si>
  <si>
    <t>0.5  0.25 pd</t>
  </si>
  <si>
    <t>W3 Content &amp; events  |  P1</t>
  </si>
  <si>
    <t>5.2  3.0 pd</t>
  </si>
  <si>
    <t>W5.1  4.5 pd</t>
  </si>
  <si>
    <t>0.8  0.25 pd</t>
  </si>
  <si>
    <t>W5 Jobs &amp; helpdesk  |  P2</t>
  </si>
  <si>
    <t>5.3a  1.0 pd</t>
  </si>
  <si>
    <t>W5.7  0.75 pd</t>
  </si>
  <si>
    <t>1.1-1.5  7.25 pd</t>
  </si>
  <si>
    <t>Quality  |  P1</t>
  </si>
  <si>
    <t>5.3b  3.0 pd</t>
  </si>
  <si>
    <t>W6.1  5.0 pd</t>
  </si>
  <si>
    <t>1.14-1.22  15.0 pd</t>
  </si>
  <si>
    <t>W6 Community &amp; partners  |  P1</t>
  </si>
  <si>
    <t>5.3c  1.0 pd</t>
  </si>
  <si>
    <t>1.24  2.0 pd</t>
  </si>
  <si>
    <t>+ 51 more on the Board Tasks tab</t>
  </si>
  <si>
    <t>+ 47 more on the Board Tasks tab</t>
  </si>
  <si>
    <t>How this board works</t>
  </si>
  <si>
    <t>- Board totals: 154 tracked tasks and 319.75 pd of development estimate across the 16 sprints S0-S15.</t>
  </si>
  <si>
    <t>- 31 cards are Done or Authored offline (validated, not live); 6 are Blocked, mostly waiting on G0 (ADMIN bootstrap and the Google OAuth client).</t>
  </si>
  <si>
    <t>- Gated cards are built with their Build Option on in DEV only, and switched on in PROD only after their DPIA annex and external agreement are signed.</t>
  </si>
  <si>
    <t>- Estimates are developer person-days before the 20% contingency. P0 and P1 are never cut; the S11 descope lane cuts from P4 upward.</t>
  </si>
  <si>
    <t>- The Kanban Dashboard tab counts these cards live; the Delivery Board tab carries the sprint and gate structure.</t>
  </si>
  <si>
    <t>Kanban Dashboard - Board Flow, Effort and Priority</t>
  </si>
  <si>
    <t>Live from the Board Tasks tab. Sprint and gate structure sits on the Delivery Board tab; capacity and velocity on the Sprint Planner Dashboard tab.</t>
  </si>
  <si>
    <t>Items on board</t>
  </si>
  <si>
    <t>Dev estimate (pd)</t>
  </si>
  <si>
    <t>Authored offline</t>
  </si>
  <si>
    <t>Gated</t>
  </si>
  <si>
    <t>1. Cards and effort by status</t>
  </si>
  <si>
    <t>Cards</t>
  </si>
  <si>
    <t>% of pd</t>
  </si>
  <si>
    <t>2. Effort by category</t>
  </si>
  <si>
    <t>3. Cards by priority tier</t>
  </si>
  <si>
    <t>Critical path - never cut</t>
  </si>
  <si>
    <t>Never cut</t>
  </si>
  <si>
    <t>Committed</t>
  </si>
  <si>
    <t>Committed - first to flex</t>
  </si>
  <si>
    <t>Descope lane - cut first</t>
  </si>
  <si>
    <t>Sprint Planner Dashboard - Attached Capacity &amp; Performance Charts</t>
  </si>
  <si>
    <t>Ports the live charts from the attached 'Sprint Capacity Planner &amp; Performance Tracker.xlsx' into this plan. Series are linked to the Sprint Capacity Planner and Sprint Performance Tracker tabs.</t>
  </si>
  <si>
    <t>Attachment</t>
  </si>
  <si>
    <t>Attached source</t>
  </si>
  <si>
    <t>Sprint Capacity Planner &amp; Performance Tracker.xlsx</t>
  </si>
  <si>
    <t>How it is attached</t>
  </si>
  <si>
    <t>Its Capacity Planner, Performance Tracker and dashboard charts are integrated into this workbook (Sprint Capacity Planner, Sprint Performance Tracker and Sprint Planner Dashboard tabs).</t>
  </si>
  <si>
    <t>Refresh</t>
  </si>
  <si>
    <t>Edit inputs on the Sprint Capacity Planner tab; the tracker formulas and these charts recalculate automatically.</t>
  </si>
  <si>
    <t>1. Commitment vs delivery by sprint (Performance Tracker)</t>
  </si>
  <si>
    <t>Committed (SP)</t>
  </si>
  <si>
    <t>Delivered (SP)</t>
  </si>
  <si>
    <t>Completion %</t>
  </si>
  <si>
    <t>3-sprint avg</t>
  </si>
  <si>
    <t>2. Capacity and forecast (Capacity Planner + Tracker)</t>
  </si>
  <si>
    <t>3. Resource story-point capacity - current sprint (Capacity Planner)</t>
  </si>
  <si>
    <t>Hours available</t>
  </si>
  <si>
    <t>Story-point capacity</t>
  </si>
  <si>
    <t>Project Status Report - OAN Portal (as of 15 October 2026 (iteration 23))</t>
  </si>
  <si>
    <t>Oracle APEX application 200 on Autonomous Database - Plan v3.2 - APEX Build Pack v1.1 - development environment only. Source: OAN-Project-Status-Report.pdf.</t>
  </si>
  <si>
    <t>Summary</t>
  </si>
  <si>
    <t>The portal is well ahead of plan. Sprint S0 formally starts on 19 October, yet the database platform and waves W0 to W5 already run on the dev environment: sign-in and onboarding, the member shell and Home, profiles, directory and CV, insights and events, conversations and notifications, opportunities, referrals, helpdesk and skills in demand, plus company registration for partners and other employers.</t>
  </si>
  <si>
    <t>Every change is validated, tested on the database and pushed to GitHub, where CI runs on each push.</t>
  </si>
  <si>
    <t>MAIN RISK: admin pages cannot be tested end to end because staff roles need Google or LinkedIn sign-in (NFR-01) and Google sign-in is set aside (Q33). Email delivery (task 0.7) is not set up, so emails are queued but not delivered on dev. Slack and WhatsApp are built but stay off until gate G-CH.</t>
  </si>
  <si>
    <t>Progress at a glance</t>
  </si>
  <si>
    <t>APEX pages live on dev</t>
  </si>
  <si>
    <t>Database tests passing</t>
  </si>
  <si>
    <t>Test suites</t>
  </si>
  <si>
    <t>Person-days of plan done</t>
  </si>
  <si>
    <t>Plan person-days before contingency</t>
  </si>
  <si>
    <t>Progress vs plan</t>
  </si>
  <si>
    <t>Blocked or gated</t>
  </si>
  <si>
    <t>Tasks on board</t>
  </si>
  <si>
    <t>Board status distribution (154 tracked tasks)</t>
  </si>
  <si>
    <t>% of board</t>
  </si>
  <si>
    <t>Source</t>
  </si>
  <si>
    <t>Status report / board (iter 23)</t>
  </si>
  <si>
    <t>Authored, untested</t>
  </si>
  <si>
    <t>Gated by build option</t>
  </si>
  <si>
    <t>Progress by workstream</t>
  </si>
  <si>
    <t>What is in place</t>
  </si>
  <si>
    <t>11 of 23 done</t>
  </si>
  <si>
    <t>Dev ADB on APEX 26.1.5, ADMIN bootstrap, utPLSQL, spikes. Blocked: Google client, social sign-in spike, email delivery.</t>
  </si>
  <si>
    <t>15 of 20 done</t>
  </si>
  <si>
    <t>100 tables, 126 secure views, 39 packages; personal-data registry with retention rules; staff scopes; job run locks; synthetic data.</t>
  </si>
  <si>
    <t>9 of 22 done</t>
  </si>
  <si>
    <t>Sign-in, registration, onboarding chat, legal, identity confirmation; admin pages built but untested (no admin login).</t>
  </si>
  <si>
    <t>3 of 3 done</t>
  </si>
  <si>
    <t>Rail, profile card, search, notifications badge; Home with letters, upcoming events and What's new.</t>
  </si>
  <si>
    <t>9 of 11 done</t>
  </si>
  <si>
    <t>Directory index, cards with Follow and Message, profiles, CV sections, sharing and printing, work profile, introductions, recommendations, reminders.</t>
  </si>
  <si>
    <t>5 of 6 done</t>
  </si>
  <si>
    <t>Insights and perspectives with saves; events with registration, waitlist, calendar file, reminders and check-in.</t>
  </si>
  <si>
    <t>4 of 6 done</t>
  </si>
  <si>
    <t>Conversations with search and polling, notification settings, unsubscribe, Help Me Connect. Slack and WhatsApp built, gated (G-CH).</t>
  </si>
  <si>
    <t>5 of 7 done</t>
  </si>
  <si>
    <t>Opportunities, applications with optional CV, referrals, helpdesk, skills in demand; company registration and workspace.</t>
  </si>
  <si>
    <t>W6-W7, quality, release</t>
  </si>
  <si>
    <t>next</t>
  </si>
  <si>
    <t>Community groups, experts, mentoring, training, partner talent requests; then administration and hardening.</t>
  </si>
  <si>
    <t>Decisions and actions needed</t>
  </si>
  <si>
    <t>Item</t>
  </si>
  <si>
    <t>Google OAuth client, or a dev-only admin login</t>
  </si>
  <si>
    <t>Blocks testing of admin pages, company verification and moderation (NFR-01)</t>
  </si>
  <si>
    <t>OAN / product owner</t>
  </si>
  <si>
    <t>OCI Email Delivery for dev (task 0.7)</t>
  </si>
  <si>
    <t>Limits sign-up confirmation, password links, company approval emails</t>
  </si>
  <si>
    <t>Gate G-CH: Slack app, WhatsApp Business number, DPAs, DPIA annex</t>
  </si>
  <si>
    <t>Gated channels are built but switched off</t>
  </si>
  <si>
    <t>Gate G-CF: Oracle Careers feed</t>
  </si>
  <si>
    <t>Gated Oracle roles are entered as Careers links until then</t>
  </si>
  <si>
    <t>PBKDF2 cost (~1.9 s per sign-in at 210k iterations)</t>
  </si>
  <si>
    <t>Change request: NFR-01 vs login performance</t>
  </si>
  <si>
    <t>Product owner</t>
  </si>
  <si>
    <t>Staffing decision (G0)</t>
  </si>
  <si>
    <t>Open one vs two developers sets the end date</t>
  </si>
  <si>
    <t>Dev deploy secrets (wallet and passwords)</t>
  </si>
  <si>
    <t>Deployment to dev stays manual until the owner adds them</t>
  </si>
  <si>
    <t>Next steps</t>
  </si>
  <si>
    <t>- W6: community groups, experts and Ask-the-Expert, mentoring with capacity, training and certificates, partner talent requests and candidate feedback (pages 60-72).</t>
  </si>
  <si>
    <t>- W7: administration and hardening (pages 100-113), including profile-update and privacy-request admin, library import and channel administration.</t>
  </si>
  <si>
    <t>- Product-owner demo of W0-W5 once an admin sign-in path is agreed.</t>
  </si>
  <si>
    <t>Delivery facts</t>
  </si>
  <si>
    <t>Live board</t>
  </si>
  <si>
    <t>maheashtiwarrii-dev.github.io/OAN_APP_Portal</t>
  </si>
  <si>
    <t>Printable board</t>
  </si>
  <si>
    <t>docs/OAN-Delivery-Board-landscape.pdf</t>
  </si>
  <si>
    <t>GitHub Project</t>
  </si>
  <si>
    <t>projects/1 (168 items)</t>
  </si>
  <si>
    <t>Database objects</t>
  </si>
  <si>
    <t>100 tables, 126 secure views, 39 packages</t>
  </si>
  <si>
    <t>Local release checks</t>
  </si>
  <si>
    <t>115 queries and 153 PL/SQL blocks compiled as the app schema; utPLSQL; import to dev</t>
  </si>
  <si>
    <t>Test data</t>
  </si>
  <si>
    <t>Synthetic only (Q12): 265 alumni, test accounts, 23 CV-based personas; no Oracle HR documents (Q29, Q35)</t>
  </si>
  <si>
    <t>Production deployment</t>
  </si>
  <si>
    <t>Not automated - requires go-live gate 8.0</t>
  </si>
  <si>
    <t>Delivered Pages on Dev - 73 pages in Application 200</t>
  </si>
  <si>
    <t>The pages already built and running on the development environment, by area (status report, 15 Oct 2026).</t>
  </si>
  <si>
    <t>Pages</t>
  </si>
  <si>
    <t>Sign-in and onboarding</t>
  </si>
  <si>
    <t>1 Login - 2 Onboarding - 3 Create account - 4 Access denied - 5 Status - 6 Application - 7 Confirm email - 8 Reset password - 9 Link account - 11 Welcome - 12 Legal - 13 Report a concern - 14 Accept terms - 15 Confirm identity - 44 Unsubscribe</t>
  </si>
  <si>
    <t>Shell and Home</t>
  </si>
  <si>
    <t>0 Global page - 10 Home - 19 Search - 41 Notifications - 42 Notification settings - 43 Slack and WhatsApp</t>
  </si>
  <si>
    <t>Profile and directory</t>
  </si>
  <si>
    <t>20 Directory - 21 Results - 22 Member profile - 23 My profile - 24 My CV - 25 Work profile - 26 Settings - 27 Privacy centre - 28 My network - 29 Help Me Connect - 90 - 91 - 231-234</t>
  </si>
  <si>
    <t>Insights and events</t>
  </si>
  <si>
    <t>30 Insights - 31 Article - 301 Write - 32 Events - 33 Event detail - 331 Event editor - 34-36 Library</t>
  </si>
  <si>
    <t>Conversations and community</t>
  </si>
  <si>
    <t>40 Conversations - 60 Discussions - 62 Post - 73 New post - 80 Report - 81 My decisions</t>
  </si>
  <si>
    <t>Careers and helpdesk</t>
  </si>
  <si>
    <t>50 Opportunities - 51 Opportunity - 52 My applications - 53 Post - 54 Referrals - 55 Helpdesk - 56 Skills in demand</t>
  </si>
  <si>
    <t>Companies</t>
  </si>
  <si>
    <t>76 Register your company (public) - 70 Company workspace - 71 Company opportunities - 112 Company registrations (admin)</t>
  </si>
  <si>
    <t>Administration (untested)</t>
  </si>
  <si>
    <t>101 Members - 106 Taxonomy - 107 Moderation (incl. job review) - 110 Audit - 114 Approvals - 115 Review - 116 Member detail - 117 Chapters - 118 Requests - 119 Appeals</t>
  </si>
  <si>
    <t>- 73 APEX pages are live on dev; every page is validated with SQLcl before import (offline APEXLang validation).</t>
  </si>
  <si>
    <t>- Administration pages are built but untested end to end: staff roles need Google or LinkedIn sign-in (NFR-01) and Google sign-in is set aside (Q33).</t>
  </si>
  <si>
    <t>- Slack and WhatsApp (page 43) are built but switched off until gate G-CH.</t>
  </si>
  <si>
    <t>CI/CD Pipeline - Build, Validate, Deploy and Publish</t>
  </si>
  <si>
    <t>Every push and pull request runs the pipeline; deployment to dev is manual and production deployment waits for go-live gate 8.0.</t>
  </si>
  <si>
    <t>Stage</t>
  </si>
  <si>
    <t>What runs</t>
  </si>
  <si>
    <t>State</t>
  </si>
  <si>
    <t>1 - Push / pull request</t>
  </si>
  <si>
    <t>Brand check (no Oracle logos) - Link check (no 404 pages) - Base-table check (NFR-03) - Dev-script guard - Secret scan (gitleaks)</t>
  </si>
  <si>
    <t>2 - Build</t>
  </si>
  <si>
    <t>Offline APEXLang validation with SQLcl (all 73 pages); no database or secrets needed</t>
  </si>
  <si>
    <t>3 - Deploy to dev (manual)</t>
  </si>
  <si>
    <t>Validate again - Import app 200 - Run utPLSQL suites - Smoke-test sign-in page</t>
  </si>
  <si>
    <t>4 - Publish</t>
  </si>
  <si>
    <t>Kanban board, status report and both PDFs to GitHub Pages; GitHub Project kept in step</t>
  </si>
  <si>
    <t>Pipeline items</t>
  </si>
  <si>
    <t>Workflows ci.yml, deploy-dev.yml, board.yml</t>
  </si>
  <si>
    <t>Live - CI green on every push this week</t>
  </si>
  <si>
    <t>Check scripts (ci/)</t>
  </si>
  <si>
    <t>Live - links, base tables, brand and validation pass on 73 pages</t>
  </si>
  <si>
    <t>Board, report and PDFs on GitHub Pages</t>
  </si>
  <si>
    <t>Live - republished on every push to docs/</t>
  </si>
  <si>
    <t>Local release checks per iteration</t>
  </si>
  <si>
    <t>Running - 115 queries and 153 PL/SQL blocks, utPLSQL, import to dev</t>
  </si>
  <si>
    <t>Dev deploy secrets</t>
  </si>
  <si>
    <t>Pending - wallet and passwords to be added by the owner in environment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</si>
</sst>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35" x14ac:knownFonts="1">
    <font>
      <sz val="11"/>
      <color theme="1"/>
      <name val="Calibri"/>
      <family val="2"/>
      <scheme val="minor"/>
    </font>
    <font>
      <b/>
      <sz val="15"/>
      <color rgb="FFFFFFFF"/>
      <name val="Calibri"/>
    </font>
    <font>
      <i/>
      <sz val="10"/>
      <color rgb="FF33475B"/>
      <name val="Calibri"/>
    </font>
    <font>
      <b/>
      <sz val="13"/>
      <color rgb="FF1F7A6B"/>
      <name val="Calibri"/>
    </font>
    <font>
      <b/>
      <sz val="11"/>
      <color rgb="FFFFFFFF"/>
      <name val="Calibri"/>
    </font>
    <font>
      <b/>
      <sz val="10"/>
      <color rgb="FF33475B"/>
      <name val="Calibri"/>
    </font>
    <font>
      <sz val="10"/>
      <name val="Calibri"/>
    </font>
    <font>
      <i/>
      <sz val="9"/>
      <color rgb="FF808080"/>
      <name val="Calibri"/>
    </font>
    <font>
      <b/>
      <sz val="10"/>
      <color rgb="FFFFFFFF"/>
      <name val="Calibri"/>
    </font>
    <font>
      <b/>
      <sz val="10"/>
      <color rgb="FFFFFFFF"/>
      <name val="Calibri"/>
    </font>
    <font>
      <sz val="10"/>
      <name val="Calibri"/>
    </font>
    <font>
      <b/>
      <sz val="10"/>
      <color rgb="FF1F7A6B"/>
      <name val="Calibri"/>
    </font>
    <font>
      <b/>
      <sz val="8"/>
      <color rgb="FFFFFFFF"/>
      <name val="Calibri"/>
    </font>
    <font>
      <b/>
      <sz val="9"/>
      <color rgb="FFFFFFFF"/>
      <name val="Calibri"/>
    </font>
    <font>
      <b/>
      <sz val="9"/>
      <color rgb="FF33475B"/>
      <name val="Calibri"/>
    </font>
    <font>
      <sz val="9"/>
      <color rgb="FF33475B"/>
      <name val="Calibri"/>
    </font>
    <font>
      <b/>
      <sz val="9"/>
      <color rgb="FFC74634"/>
      <name val="Calibri"/>
    </font>
    <font>
      <i/>
      <sz val="10"/>
      <color rgb="FF33475B"/>
      <name val="Calibri"/>
    </font>
    <font>
      <i/>
      <sz val="10"/>
      <color rgb="FF1F7A6B"/>
      <name val="Calibri"/>
    </font>
    <font>
      <b/>
      <sz val="10"/>
      <color rgb="FF000000"/>
      <name val="Calibri"/>
    </font>
    <font>
      <b/>
      <sz val="10"/>
      <name val="Calibri"/>
    </font>
    <font>
      <b/>
      <sz val="15"/>
      <color rgb="FFFFFFFF"/>
      <name val="Calibri"/>
    </font>
    <font>
      <b/>
      <sz val="9"/>
      <color rgb="FF000000"/>
      <name val="Calibri"/>
    </font>
    <font>
      <sz val="10"/>
      <color rgb="FF000000"/>
      <name val="Calibri"/>
    </font>
    <font>
      <b/>
      <sz val="11"/>
      <color rgb="FFFFFFFF"/>
      <name val="Calibri"/>
    </font>
    <font>
      <i/>
      <sz val="9"/>
      <color rgb="FF33475B"/>
      <name val="Calibri"/>
    </font>
    <font>
      <sz val="9"/>
      <color rgb="FF000000"/>
      <name val="Calibri"/>
    </font>
    <font>
      <sz val="8"/>
      <color rgb="FF000000"/>
      <name val="Calibri"/>
    </font>
    <font>
      <b/>
      <sz val="8"/>
      <color rgb="FF000000"/>
      <name val="Calibri"/>
    </font>
    <font>
      <b/>
      <sz val="12"/>
      <color rgb="FF000000"/>
      <name val="Calibri"/>
    </font>
    <font>
      <sz val="7"/>
      <color rgb="FF000000"/>
      <name val="Calibri"/>
    </font>
    <font>
      <b/>
      <sz val="10"/>
      <color rgb="FFC74634"/>
      <name val="Calibri"/>
    </font>
    <font>
      <b/>
      <sz val="7"/>
      <color rgb="FF33475B"/>
      <name val="Calibri"/>
    </font>
    <font>
      <sz val="7"/>
      <color rgb="FF5A6570"/>
      <name val="Calibri"/>
    </font>
    <font>
      <b/>
      <sz val="8"/>
      <color rgb="FFC74634"/>
      <name val="Calibri"/>
    </font>
  </fonts>
  <fills count="21">
    <fill>
      <patternFill patternType="none"/>
    </fill>
    <fill>
      <patternFill patternType="gray125"/>
    </fill>
    <fill>
      <patternFill patternType="solid">
        <fgColor rgb="FF1F3864"/>
      </patternFill>
    </fill>
    <fill>
      <patternFill patternType="solid">
        <fgColor rgb="FF2E5FA3"/>
      </patternFill>
    </fill>
    <fill>
      <patternFill patternType="solid">
        <fgColor rgb="FFF2F2F2"/>
      </patternFill>
    </fill>
    <fill>
      <patternFill patternType="solid">
        <fgColor rgb="FF1F7A6B"/>
      </patternFill>
    </fill>
    <fill>
      <patternFill patternType="solid">
        <fgColor rgb="FF33475B"/>
      </patternFill>
    </fill>
    <fill>
      <patternFill patternType="solid">
        <fgColor rgb="FFEEF3FB"/>
      </patternFill>
    </fill>
    <fill>
      <patternFill patternType="solid">
        <fgColor rgb="FFFFFFFF"/>
      </patternFill>
    </fill>
    <fill>
      <patternFill patternType="solid">
        <fgColor rgb="FFFFF2CC"/>
      </patternFill>
    </fill>
    <fill>
      <patternFill patternType="solid">
        <fgColor rgb="FFEDEDED"/>
      </patternFill>
    </fill>
    <fill>
      <patternFill patternType="solid">
        <fgColor rgb="FFFBE5D6"/>
      </patternFill>
    </fill>
    <fill>
      <patternFill patternType="solid">
        <fgColor rgb="FF9DC3E6"/>
      </patternFill>
    </fill>
    <fill>
      <patternFill patternType="solid">
        <fgColor rgb="FFFFE699"/>
      </patternFill>
    </fill>
    <fill>
      <patternFill patternType="solid">
        <fgColor rgb="FFFCE4D6"/>
      </patternFill>
    </fill>
    <fill>
      <patternFill patternType="solid">
        <fgColor rgb="FFDEEBF7"/>
      </patternFill>
    </fill>
    <fill>
      <patternFill patternType="solid">
        <fgColor rgb="FFF8CBAD"/>
      </patternFill>
    </fill>
    <fill>
      <patternFill patternType="solid">
        <fgColor rgb="FFE2EFDA"/>
      </patternFill>
    </fill>
    <fill>
      <patternFill patternType="solid">
        <fgColor rgb="FFFFF7DC"/>
      </patternFill>
    </fill>
    <fill>
      <patternFill patternType="solid">
        <fgColor rgb="FFD9EAD3"/>
      </patternFill>
    </fill>
    <fill>
      <patternFill patternType="solid">
        <fgColor rgb="FFE2E0F0"/>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94">
    <xf numFmtId="0" fontId="0" fillId="0" borderId="0" xfId="0"/>
    <xf numFmtId="0" fontId="5" fillId="4" borderId="1" xfId="0" applyFont="1" applyFill="1" applyBorder="1"/>
    <xf numFmtId="0" fontId="6" fillId="0" borderId="1" xfId="0" applyFont="1" applyBorder="1" applyAlignment="1">
      <alignment vertical="center" wrapText="1"/>
    </xf>
    <xf numFmtId="0" fontId="8" fillId="5" borderId="1" xfId="0" applyFont="1" applyFill="1" applyBorder="1" applyAlignment="1">
      <alignment vertical="top" wrapText="1" indent="1"/>
    </xf>
    <xf numFmtId="0" fontId="9" fillId="6" borderId="1" xfId="0" applyFont="1" applyFill="1" applyBorder="1" applyAlignment="1">
      <alignment horizontal="center" vertical="center" wrapText="1"/>
    </xf>
    <xf numFmtId="0" fontId="10" fillId="0" borderId="1" xfId="0" applyFont="1" applyBorder="1" applyAlignment="1">
      <alignment horizontal="left" vertical="top" wrapText="1"/>
    </xf>
    <xf numFmtId="0" fontId="10" fillId="7" borderId="1" xfId="0" applyFont="1" applyFill="1" applyBorder="1" applyAlignment="1">
      <alignment horizontal="left" vertical="top" wrapText="1"/>
    </xf>
    <xf numFmtId="0" fontId="10" fillId="7" borderId="1" xfId="0" applyFont="1" applyFill="1" applyBorder="1" applyAlignment="1">
      <alignment horizontal="center" vertical="top" wrapText="1"/>
    </xf>
    <xf numFmtId="0" fontId="10" fillId="0" borderId="1" xfId="0" applyFont="1" applyBorder="1" applyAlignment="1">
      <alignment horizontal="center" vertical="top" wrapText="1"/>
    </xf>
    <xf numFmtId="0" fontId="12" fillId="5" borderId="1" xfId="0" applyFont="1" applyFill="1" applyBorder="1" applyAlignment="1">
      <alignment horizontal="center"/>
    </xf>
    <xf numFmtId="0" fontId="12" fillId="3" borderId="1" xfId="0" applyFont="1" applyFill="1" applyBorder="1" applyAlignment="1">
      <alignment horizontal="center"/>
    </xf>
    <xf numFmtId="0" fontId="14" fillId="7" borderId="1" xfId="0" applyFont="1" applyFill="1" applyBorder="1" applyAlignment="1">
      <alignment horizontal="center" vertical="top" wrapText="1"/>
    </xf>
    <xf numFmtId="0" fontId="15" fillId="7" borderId="1" xfId="0" applyFont="1" applyFill="1" applyBorder="1" applyAlignment="1">
      <alignment horizontal="left" vertical="top" wrapText="1"/>
    </xf>
    <xf numFmtId="0" fontId="13" fillId="5" borderId="1" xfId="0" applyFont="1" applyFill="1" applyBorder="1" applyAlignment="1">
      <alignment horizontal="center" vertical="center"/>
    </xf>
    <xf numFmtId="0" fontId="14" fillId="0" borderId="1" xfId="0" applyFont="1" applyBorder="1" applyAlignment="1">
      <alignment horizontal="center" vertical="top" wrapText="1"/>
    </xf>
    <xf numFmtId="0" fontId="15" fillId="0" borderId="1" xfId="0" applyFont="1" applyBorder="1" applyAlignment="1">
      <alignment horizontal="left" vertical="top" wrapText="1"/>
    </xf>
    <xf numFmtId="0" fontId="16" fillId="7" borderId="1" xfId="0" applyFont="1" applyFill="1" applyBorder="1" applyAlignment="1">
      <alignment horizontal="left" vertical="top" wrapText="1"/>
    </xf>
    <xf numFmtId="0" fontId="16" fillId="0" borderId="1" xfId="0" applyFont="1" applyBorder="1" applyAlignment="1">
      <alignment horizontal="left" vertical="top" wrapText="1"/>
    </xf>
    <xf numFmtId="0" fontId="13" fillId="3" borderId="1" xfId="0" applyFont="1" applyFill="1" applyBorder="1" applyAlignment="1">
      <alignment horizontal="center" vertical="center"/>
    </xf>
    <xf numFmtId="0" fontId="10" fillId="8" borderId="1" xfId="0" applyFont="1" applyFill="1" applyBorder="1" applyAlignment="1">
      <alignment horizontal="left" vertical="top" wrapText="1"/>
    </xf>
    <xf numFmtId="0" fontId="10" fillId="9" borderId="1" xfId="0" applyFont="1" applyFill="1" applyBorder="1" applyAlignment="1">
      <alignment horizontal="left" vertical="top" wrapText="1"/>
    </xf>
    <xf numFmtId="0" fontId="10" fillId="10" borderId="1" xfId="0" applyFont="1" applyFill="1" applyBorder="1" applyAlignment="1">
      <alignment horizontal="left" vertical="top" wrapText="1"/>
    </xf>
    <xf numFmtId="0" fontId="10" fillId="11" borderId="1" xfId="0" applyFont="1" applyFill="1" applyBorder="1" applyAlignment="1">
      <alignment horizontal="left" vertical="top" wrapText="1"/>
    </xf>
    <xf numFmtId="0" fontId="14" fillId="0" borderId="1" xfId="0" applyFont="1" applyBorder="1" applyAlignment="1">
      <alignment horizontal="left" vertical="top"/>
    </xf>
    <xf numFmtId="0" fontId="10" fillId="0" borderId="1" xfId="0" applyFont="1" applyBorder="1" applyAlignment="1">
      <alignment horizontal="left" vertical="top"/>
    </xf>
    <xf numFmtId="0" fontId="8" fillId="5" borderId="1" xfId="0" applyFont="1" applyFill="1" applyBorder="1" applyAlignment="1">
      <alignment horizontal="center" vertical="top"/>
    </xf>
    <xf numFmtId="0" fontId="8" fillId="3" borderId="1" xfId="0" applyFont="1" applyFill="1" applyBorder="1" applyAlignment="1">
      <alignment horizontal="center" vertical="top"/>
    </xf>
    <xf numFmtId="0" fontId="8" fillId="12" borderId="1" xfId="0" applyFont="1" applyFill="1" applyBorder="1" applyAlignment="1">
      <alignment horizontal="center" vertical="top"/>
    </xf>
    <xf numFmtId="0" fontId="8" fillId="13" borderId="1" xfId="0" applyFont="1" applyFill="1" applyBorder="1" applyAlignment="1">
      <alignment horizontal="center" vertical="top"/>
    </xf>
    <xf numFmtId="0" fontId="19" fillId="0" borderId="1" xfId="0" applyFont="1" applyBorder="1" applyAlignment="1">
      <alignment horizontal="center" vertical="top"/>
    </xf>
    <xf numFmtId="0" fontId="14" fillId="7" borderId="1" xfId="0" applyFont="1" applyFill="1" applyBorder="1" applyAlignment="1">
      <alignment horizontal="left" vertical="top"/>
    </xf>
    <xf numFmtId="0" fontId="10" fillId="7" borderId="1" xfId="0" applyFont="1" applyFill="1" applyBorder="1" applyAlignment="1">
      <alignment horizontal="left" vertical="top"/>
    </xf>
    <xf numFmtId="0" fontId="19" fillId="7" borderId="1" xfId="0" applyFont="1" applyFill="1" applyBorder="1" applyAlignment="1">
      <alignment horizontal="center" vertical="top"/>
    </xf>
    <xf numFmtId="0" fontId="8" fillId="4" borderId="1" xfId="0" applyFont="1" applyFill="1" applyBorder="1" applyAlignment="1">
      <alignment horizontal="center" vertical="top"/>
    </xf>
    <xf numFmtId="0" fontId="20" fillId="14" borderId="1" xfId="0" applyFont="1" applyFill="1" applyBorder="1" applyAlignment="1">
      <alignment horizontal="center" vertical="top" wrapText="1"/>
    </xf>
    <xf numFmtId="0" fontId="20" fillId="15" borderId="1" xfId="0" applyFont="1" applyFill="1" applyBorder="1" applyAlignment="1">
      <alignment horizontal="center" vertical="top" wrapText="1"/>
    </xf>
    <xf numFmtId="0" fontId="20" fillId="16" borderId="1" xfId="0" applyFont="1" applyFill="1" applyBorder="1" applyAlignment="1">
      <alignment horizontal="center" vertical="top" wrapText="1"/>
    </xf>
    <xf numFmtId="0" fontId="20" fillId="17" borderId="1" xfId="0" applyFont="1" applyFill="1" applyBorder="1" applyAlignment="1">
      <alignment horizontal="center" vertical="top" wrapText="1"/>
    </xf>
    <xf numFmtId="0" fontId="19" fillId="6" borderId="1" xfId="0" applyFont="1" applyFill="1" applyBorder="1" applyAlignment="1">
      <alignment horizontal="left" vertical="center"/>
    </xf>
    <xf numFmtId="0" fontId="22" fillId="6" borderId="1" xfId="0" applyFont="1" applyFill="1" applyBorder="1" applyAlignment="1">
      <alignment horizontal="center" vertical="center" wrapText="1"/>
    </xf>
    <xf numFmtId="0" fontId="19" fillId="6" borderId="1" xfId="0" applyFont="1" applyFill="1" applyBorder="1" applyAlignment="1">
      <alignment horizontal="center" vertical="center"/>
    </xf>
    <xf numFmtId="0" fontId="19" fillId="5" borderId="1" xfId="0" applyFont="1" applyFill="1" applyBorder="1" applyAlignment="1">
      <alignment horizontal="left" vertical="center"/>
    </xf>
    <xf numFmtId="0" fontId="23" fillId="4" borderId="1" xfId="0" applyFont="1" applyFill="1" applyBorder="1" applyAlignment="1">
      <alignment horizontal="left" vertical="center"/>
    </xf>
    <xf numFmtId="165" fontId="23" fillId="8" borderId="1" xfId="0" applyNumberFormat="1" applyFont="1" applyFill="1" applyBorder="1" applyAlignment="1">
      <alignment horizontal="center" vertical="center"/>
    </xf>
    <xf numFmtId="165" fontId="19" fillId="7" borderId="1" xfId="0" applyNumberFormat="1" applyFont="1" applyFill="1" applyBorder="1" applyAlignment="1">
      <alignment horizontal="center" vertical="center"/>
    </xf>
    <xf numFmtId="0" fontId="19" fillId="4" borderId="1" xfId="0" applyFont="1" applyFill="1" applyBorder="1" applyAlignment="1">
      <alignment horizontal="left" vertical="center"/>
    </xf>
    <xf numFmtId="0" fontId="23" fillId="8" borderId="1" xfId="0" applyFont="1" applyFill="1" applyBorder="1" applyAlignment="1">
      <alignment horizontal="center" vertical="center"/>
    </xf>
    <xf numFmtId="164" fontId="23" fillId="18" borderId="1" xfId="0" applyNumberFormat="1" applyFont="1" applyFill="1" applyBorder="1" applyAlignment="1">
      <alignment horizontal="center" vertical="center"/>
    </xf>
    <xf numFmtId="165" fontId="23" fillId="18" borderId="1" xfId="0" applyNumberFormat="1" applyFont="1" applyFill="1" applyBorder="1" applyAlignment="1">
      <alignment horizontal="center" vertical="center"/>
    </xf>
    <xf numFmtId="0" fontId="19" fillId="7" borderId="1" xfId="0" applyFont="1" applyFill="1" applyBorder="1" applyAlignment="1">
      <alignment horizontal="left" vertical="center"/>
    </xf>
    <xf numFmtId="1" fontId="23" fillId="18" borderId="1" xfId="0" applyNumberFormat="1" applyFont="1" applyFill="1" applyBorder="1" applyAlignment="1">
      <alignment horizontal="center" vertical="center"/>
    </xf>
    <xf numFmtId="0" fontId="19" fillId="11" borderId="1" xfId="0" applyFont="1" applyFill="1" applyBorder="1" applyAlignment="1">
      <alignment horizontal="left" vertical="center"/>
    </xf>
    <xf numFmtId="2" fontId="23" fillId="18" borderId="1" xfId="0" applyNumberFormat="1" applyFont="1" applyFill="1" applyBorder="1" applyAlignment="1">
      <alignment horizontal="center" vertical="center"/>
    </xf>
    <xf numFmtId="0" fontId="19" fillId="7" borderId="1" xfId="0" applyFont="1" applyFill="1" applyBorder="1" applyAlignment="1">
      <alignment horizontal="center" vertical="center"/>
    </xf>
    <xf numFmtId="9" fontId="23" fillId="18" borderId="1" xfId="0" applyNumberFormat="1" applyFont="1" applyFill="1" applyBorder="1" applyAlignment="1">
      <alignment horizontal="center" vertical="center"/>
    </xf>
    <xf numFmtId="1" fontId="23" fillId="8" borderId="1" xfId="0" applyNumberFormat="1" applyFont="1" applyFill="1" applyBorder="1" applyAlignment="1">
      <alignment horizontal="center" vertical="center"/>
    </xf>
    <xf numFmtId="165" fontId="19" fillId="8" borderId="1" xfId="0" applyNumberFormat="1" applyFont="1" applyFill="1" applyBorder="1" applyAlignment="1">
      <alignment horizontal="center" vertical="center"/>
    </xf>
    <xf numFmtId="0" fontId="23" fillId="8" borderId="1" xfId="0" applyFont="1" applyFill="1" applyBorder="1" applyAlignment="1">
      <alignment horizontal="left" vertical="center"/>
    </xf>
    <xf numFmtId="165" fontId="19" fillId="18" borderId="1" xfId="0" applyNumberFormat="1" applyFont="1" applyFill="1" applyBorder="1" applyAlignment="1">
      <alignment horizontal="center" vertical="center"/>
    </xf>
    <xf numFmtId="165" fontId="19" fillId="19" borderId="1" xfId="0" applyNumberFormat="1" applyFont="1" applyFill="1" applyBorder="1" applyAlignment="1">
      <alignment horizontal="center" vertical="center"/>
    </xf>
    <xf numFmtId="0" fontId="8" fillId="6" borderId="1" xfId="0" applyFont="1" applyFill="1" applyBorder="1" applyAlignment="1">
      <alignment horizontal="center" vertical="center" wrapText="1"/>
    </xf>
    <xf numFmtId="0" fontId="23" fillId="18" borderId="1" xfId="0" applyFont="1" applyFill="1" applyBorder="1" applyAlignment="1">
      <alignment horizontal="center" vertical="center"/>
    </xf>
    <xf numFmtId="0" fontId="23" fillId="0" borderId="1" xfId="0" applyFont="1" applyBorder="1" applyAlignment="1">
      <alignment horizontal="center" vertical="center"/>
    </xf>
    <xf numFmtId="166" fontId="23" fillId="0" borderId="1" xfId="0" applyNumberFormat="1" applyFont="1" applyBorder="1" applyAlignment="1">
      <alignment horizontal="center" vertical="center"/>
    </xf>
    <xf numFmtId="165" fontId="23" fillId="0" borderId="1" xfId="0" applyNumberFormat="1" applyFont="1" applyBorder="1" applyAlignment="1">
      <alignment horizontal="center" vertical="center"/>
    </xf>
    <xf numFmtId="2" fontId="19" fillId="7" borderId="1" xfId="0" applyNumberFormat="1" applyFont="1" applyFill="1" applyBorder="1" applyAlignment="1">
      <alignment horizontal="center" vertical="center"/>
    </xf>
    <xf numFmtId="166" fontId="19" fillId="7" borderId="1" xfId="0" applyNumberFormat="1" applyFont="1" applyFill="1" applyBorder="1" applyAlignment="1">
      <alignment horizontal="center" vertical="center"/>
    </xf>
    <xf numFmtId="165" fontId="19" fillId="11" borderId="1" xfId="0" applyNumberFormat="1" applyFont="1" applyFill="1" applyBorder="1" applyAlignment="1">
      <alignment horizontal="center" vertical="center"/>
    </xf>
    <xf numFmtId="166" fontId="19" fillId="11" borderId="1" xfId="0" applyNumberFormat="1" applyFont="1" applyFill="1" applyBorder="1" applyAlignment="1">
      <alignment horizontal="center" vertical="center"/>
    </xf>
    <xf numFmtId="0" fontId="23" fillId="0" borderId="1" xfId="0" applyFont="1" applyBorder="1" applyAlignment="1">
      <alignment horizontal="left" vertical="center"/>
    </xf>
    <xf numFmtId="2" fontId="23" fillId="0" borderId="1" xfId="0" applyNumberFormat="1" applyFont="1" applyBorder="1" applyAlignment="1">
      <alignment horizontal="center" vertical="center"/>
    </xf>
    <xf numFmtId="0" fontId="19" fillId="8" borderId="1" xfId="0" applyFont="1" applyFill="1" applyBorder="1" applyAlignment="1">
      <alignment horizontal="left" vertical="center" wrapText="1"/>
    </xf>
    <xf numFmtId="0" fontId="23" fillId="8" borderId="1" xfId="0" applyFont="1" applyFill="1" applyBorder="1" applyAlignment="1">
      <alignment horizontal="left" vertical="center" wrapText="1"/>
    </xf>
    <xf numFmtId="0" fontId="19" fillId="7" borderId="1" xfId="0" applyFont="1" applyFill="1" applyBorder="1" applyAlignment="1">
      <alignment horizontal="left" vertical="center" wrapText="1"/>
    </xf>
    <xf numFmtId="0" fontId="23" fillId="7" borderId="1" xfId="0" applyFont="1" applyFill="1" applyBorder="1" applyAlignment="1">
      <alignment horizontal="left" vertical="center" wrapText="1"/>
    </xf>
    <xf numFmtId="0" fontId="22" fillId="0" borderId="1" xfId="0" applyFont="1" applyBorder="1" applyAlignment="1">
      <alignment horizontal="center" vertical="center"/>
    </xf>
    <xf numFmtId="0" fontId="23" fillId="0" borderId="1" xfId="0" applyFont="1" applyBorder="1" applyAlignment="1">
      <alignment horizontal="left" vertical="center" wrapText="1"/>
    </xf>
    <xf numFmtId="0" fontId="26" fillId="10" borderId="1" xfId="0" applyFont="1" applyFill="1" applyBorder="1" applyAlignment="1">
      <alignment horizontal="center" vertical="center"/>
    </xf>
    <xf numFmtId="2" fontId="26" fillId="0" borderId="1" xfId="0" applyNumberFormat="1" applyFont="1" applyBorder="1" applyAlignment="1">
      <alignment horizontal="center" vertical="center"/>
    </xf>
    <xf numFmtId="0" fontId="26" fillId="0" borderId="1" xfId="0" applyFont="1" applyBorder="1" applyAlignment="1">
      <alignment horizontal="center" vertical="center"/>
    </xf>
    <xf numFmtId="0" fontId="27" fillId="0" borderId="1" xfId="0" applyFont="1" applyBorder="1" applyAlignment="1">
      <alignment horizontal="center" vertical="center"/>
    </xf>
    <xf numFmtId="0" fontId="26" fillId="9" borderId="1" xfId="0" applyFont="1" applyFill="1" applyBorder="1" applyAlignment="1">
      <alignment horizontal="center" vertical="center"/>
    </xf>
    <xf numFmtId="0" fontId="26" fillId="15" borderId="1" xfId="0" applyFont="1" applyFill="1" applyBorder="1" applyAlignment="1">
      <alignment horizontal="center" vertical="center"/>
    </xf>
    <xf numFmtId="0" fontId="26" fillId="16" borderId="1" xfId="0" applyFont="1" applyFill="1" applyBorder="1" applyAlignment="1">
      <alignment horizontal="center" vertical="center"/>
    </xf>
    <xf numFmtId="0" fontId="26" fillId="20" borderId="1" xfId="0" applyFont="1" applyFill="1" applyBorder="1" applyAlignment="1">
      <alignment horizontal="center" vertical="center"/>
    </xf>
    <xf numFmtId="0" fontId="26" fillId="19" borderId="1" xfId="0" applyFont="1" applyFill="1" applyBorder="1" applyAlignment="1">
      <alignment horizontal="center" vertical="center"/>
    </xf>
    <xf numFmtId="0" fontId="19" fillId="15" borderId="1" xfId="0" applyFont="1" applyFill="1" applyBorder="1" applyAlignment="1">
      <alignment horizontal="center" vertical="center"/>
    </xf>
    <xf numFmtId="0" fontId="27" fillId="15" borderId="1" xfId="0" applyFont="1" applyFill="1" applyBorder="1" applyAlignment="1">
      <alignment horizontal="center" vertical="center"/>
    </xf>
    <xf numFmtId="0" fontId="31" fillId="7" borderId="1" xfId="0" applyFont="1" applyFill="1" applyBorder="1" applyAlignment="1">
      <alignment horizontal="center" vertical="center"/>
    </xf>
    <xf numFmtId="0" fontId="19" fillId="9" borderId="1" xfId="0" applyFont="1" applyFill="1" applyBorder="1" applyAlignment="1">
      <alignment horizontal="center" vertical="center"/>
    </xf>
    <xf numFmtId="0" fontId="27" fillId="9" borderId="1" xfId="0" applyFont="1" applyFill="1" applyBorder="1" applyAlignment="1">
      <alignment horizontal="center" vertical="center"/>
    </xf>
    <xf numFmtId="0" fontId="19" fillId="8" borderId="1" xfId="0" applyFont="1" applyFill="1" applyBorder="1" applyAlignment="1">
      <alignment horizontal="center" vertical="center"/>
    </xf>
    <xf numFmtId="0" fontId="19" fillId="11" borderId="1" xfId="0" applyFont="1" applyFill="1" applyBorder="1" applyAlignment="1">
      <alignment horizontal="center" vertical="center"/>
    </xf>
    <xf numFmtId="0" fontId="27" fillId="11" borderId="1" xfId="0" applyFont="1" applyFill="1" applyBorder="1" applyAlignment="1">
      <alignment horizontal="center" vertical="center"/>
    </xf>
    <xf numFmtId="0" fontId="19" fillId="16" borderId="1" xfId="0" applyFont="1" applyFill="1" applyBorder="1" applyAlignment="1">
      <alignment horizontal="center" vertical="center"/>
    </xf>
    <xf numFmtId="0" fontId="27" fillId="16" borderId="1" xfId="0" applyFont="1" applyFill="1" applyBorder="1" applyAlignment="1">
      <alignment horizontal="center" vertical="center"/>
    </xf>
    <xf numFmtId="0" fontId="19" fillId="19" borderId="1" xfId="0" applyFont="1" applyFill="1" applyBorder="1" applyAlignment="1">
      <alignment horizontal="center" vertical="center"/>
    </xf>
    <xf numFmtId="0" fontId="27" fillId="19" borderId="1" xfId="0" applyFont="1" applyFill="1" applyBorder="1" applyAlignment="1">
      <alignment horizontal="center" vertical="center"/>
    </xf>
    <xf numFmtId="0" fontId="19" fillId="17" borderId="1" xfId="0" applyFont="1" applyFill="1" applyBorder="1" applyAlignment="1">
      <alignment horizontal="center" vertical="center"/>
    </xf>
    <xf numFmtId="0" fontId="27" fillId="17" borderId="1" xfId="0" applyFont="1" applyFill="1" applyBorder="1" applyAlignment="1">
      <alignment horizontal="center" vertical="center"/>
    </xf>
    <xf numFmtId="0" fontId="19" fillId="10" borderId="1" xfId="0" applyFont="1" applyFill="1" applyBorder="1" applyAlignment="1">
      <alignment horizontal="center" vertical="center"/>
    </xf>
    <xf numFmtId="0" fontId="27" fillId="10" borderId="1" xfId="0" applyFont="1" applyFill="1" applyBorder="1" applyAlignment="1">
      <alignment horizontal="center" vertical="center"/>
    </xf>
    <xf numFmtId="0" fontId="23" fillId="7" borderId="1" xfId="0" applyFont="1" applyFill="1" applyBorder="1" applyAlignment="1">
      <alignment horizontal="left" vertical="center"/>
    </xf>
    <xf numFmtId="0" fontId="19" fillId="0" borderId="1" xfId="0" applyFont="1" applyBorder="1" applyAlignment="1">
      <alignment horizontal="left" vertical="center"/>
    </xf>
    <xf numFmtId="0" fontId="19" fillId="10" borderId="1" xfId="0" applyFont="1" applyFill="1" applyBorder="1" applyAlignment="1">
      <alignment horizontal="left" vertical="center"/>
    </xf>
    <xf numFmtId="0" fontId="19" fillId="9" borderId="1" xfId="0" applyFont="1" applyFill="1" applyBorder="1" applyAlignment="1">
      <alignment horizontal="left" vertical="center"/>
    </xf>
    <xf numFmtId="0" fontId="19" fillId="15" borderId="1" xfId="0" applyFont="1" applyFill="1" applyBorder="1" applyAlignment="1">
      <alignment horizontal="left" vertical="center"/>
    </xf>
    <xf numFmtId="0" fontId="19" fillId="16" borderId="1" xfId="0" applyFont="1" applyFill="1" applyBorder="1" applyAlignment="1">
      <alignment horizontal="left" vertical="center"/>
    </xf>
    <xf numFmtId="0" fontId="19" fillId="20" borderId="1" xfId="0" applyFont="1" applyFill="1" applyBorder="1" applyAlignment="1">
      <alignment horizontal="left" vertical="center"/>
    </xf>
    <xf numFmtId="0" fontId="19" fillId="19" borderId="1" xfId="0" applyFont="1" applyFill="1" applyBorder="1" applyAlignment="1">
      <alignment horizontal="left" vertical="center"/>
    </xf>
    <xf numFmtId="0" fontId="19" fillId="0" borderId="1" xfId="0" applyFont="1" applyBorder="1" applyAlignment="1">
      <alignment horizontal="center" vertical="center"/>
    </xf>
    <xf numFmtId="0" fontId="22" fillId="10" borderId="1" xfId="0" applyFont="1" applyFill="1" applyBorder="1" applyAlignment="1">
      <alignment horizontal="left" vertical="center"/>
    </xf>
    <xf numFmtId="0" fontId="22" fillId="9" borderId="1" xfId="0" applyFont="1" applyFill="1" applyBorder="1" applyAlignment="1">
      <alignment horizontal="left" vertical="center"/>
    </xf>
    <xf numFmtId="0" fontId="22" fillId="15" borderId="1" xfId="0" applyFont="1" applyFill="1" applyBorder="1" applyAlignment="1">
      <alignment horizontal="left" vertical="center"/>
    </xf>
    <xf numFmtId="0" fontId="22" fillId="16" borderId="1" xfId="0" applyFont="1" applyFill="1" applyBorder="1" applyAlignment="1">
      <alignment horizontal="left" vertical="center"/>
    </xf>
    <xf numFmtId="0" fontId="22" fillId="20" borderId="1" xfId="0" applyFont="1" applyFill="1" applyBorder="1" applyAlignment="1">
      <alignment horizontal="left" vertical="center"/>
    </xf>
    <xf numFmtId="0" fontId="22" fillId="19" borderId="1" xfId="0" applyFont="1" applyFill="1" applyBorder="1" applyAlignment="1">
      <alignment horizontal="left" vertical="center"/>
    </xf>
    <xf numFmtId="0" fontId="26" fillId="0" borderId="1" xfId="0" applyFont="1" applyBorder="1" applyAlignment="1">
      <alignment horizontal="left" vertical="center"/>
    </xf>
    <xf numFmtId="0" fontId="26" fillId="0" borderId="1" xfId="0" applyFont="1" applyBorder="1" applyAlignment="1">
      <alignment horizontal="left" vertical="center" wrapText="1"/>
    </xf>
    <xf numFmtId="0" fontId="1" fillId="2" borderId="0" xfId="0" applyFont="1" applyFill="1" applyAlignment="1">
      <alignment horizontal="left" vertical="center" indent="1"/>
    </xf>
    <xf numFmtId="0" fontId="0" fillId="0" borderId="0" xfId="0"/>
    <xf numFmtId="0" fontId="6" fillId="0" borderId="0" xfId="0" applyFont="1" applyAlignment="1">
      <alignment vertical="center" wrapText="1" indent="1"/>
    </xf>
    <xf numFmtId="0" fontId="4" fillId="3" borderId="0" xfId="0" applyFont="1" applyFill="1" applyAlignment="1">
      <alignment horizontal="left" vertical="center" indent="1"/>
    </xf>
    <xf numFmtId="0" fontId="7" fillId="0" borderId="0" xfId="0" applyFont="1" applyAlignment="1">
      <alignment vertical="top" wrapText="1"/>
    </xf>
    <xf numFmtId="0" fontId="3" fillId="0" borderId="0" xfId="0" applyFont="1"/>
    <xf numFmtId="0" fontId="2" fillId="0" borderId="0" xfId="0" applyFont="1" applyAlignment="1">
      <alignment horizontal="left" vertical="center" indent="1"/>
    </xf>
    <xf numFmtId="0" fontId="6" fillId="0" borderId="1" xfId="0" applyFont="1" applyBorder="1" applyAlignment="1">
      <alignment vertical="top" wrapText="1"/>
    </xf>
    <xf numFmtId="0" fontId="0" fillId="0" borderId="2" xfId="0" applyBorder="1"/>
    <xf numFmtId="0" fontId="0" fillId="0" borderId="3" xfId="0" applyBorder="1"/>
    <xf numFmtId="0" fontId="11" fillId="0" borderId="0" xfId="0" applyFont="1" applyAlignment="1">
      <alignment wrapText="1" indent="1"/>
    </xf>
    <xf numFmtId="0" fontId="17" fillId="0" borderId="0" xfId="0" applyFont="1" applyAlignment="1">
      <alignment wrapText="1" indent="1"/>
    </xf>
    <xf numFmtId="0" fontId="13" fillId="2" borderId="1" xfId="0" applyFont="1" applyFill="1" applyBorder="1" applyAlignment="1">
      <alignment indent="1"/>
    </xf>
    <xf numFmtId="0" fontId="6" fillId="0" borderId="0" xfId="0" applyFont="1" applyAlignment="1">
      <alignment wrapText="1" indent="1"/>
    </xf>
    <xf numFmtId="0" fontId="6" fillId="0" borderId="1" xfId="0" applyFont="1" applyBorder="1" applyAlignment="1">
      <alignment vertical="center" wrapText="1"/>
    </xf>
    <xf numFmtId="0" fontId="8" fillId="5" borderId="1" xfId="0" applyFont="1" applyFill="1" applyBorder="1" applyAlignment="1">
      <alignment vertical="center" wrapText="1" indent="1"/>
    </xf>
    <xf numFmtId="0" fontId="18" fillId="0" borderId="0" xfId="0" applyFont="1" applyAlignment="1">
      <alignment wrapText="1" indent="1"/>
    </xf>
    <xf numFmtId="0" fontId="6" fillId="0" borderId="0" xfId="0" applyFont="1" applyAlignment="1">
      <alignment vertical="center" wrapText="1"/>
    </xf>
    <xf numFmtId="0" fontId="5" fillId="0" borderId="0" xfId="0" applyFont="1"/>
    <xf numFmtId="0" fontId="17" fillId="0" borderId="0" xfId="0" applyFont="1" applyAlignment="1">
      <alignment horizontal="left" vertical="center" indent="1"/>
    </xf>
    <xf numFmtId="0" fontId="25" fillId="0" borderId="0" xfId="0" applyFont="1" applyAlignment="1">
      <alignment vertical="center" wrapText="1" indent="1"/>
    </xf>
    <xf numFmtId="0" fontId="21" fillId="2" borderId="0" xfId="0" applyFont="1" applyFill="1" applyAlignment="1">
      <alignment horizontal="left" vertical="center" indent="1"/>
    </xf>
    <xf numFmtId="0" fontId="24" fillId="3" borderId="0" xfId="0" applyFont="1" applyFill="1" applyAlignment="1">
      <alignment horizontal="left" vertical="center" indent="1"/>
    </xf>
    <xf numFmtId="0" fontId="19" fillId="4" borderId="1" xfId="0" applyFont="1" applyFill="1" applyBorder="1" applyAlignment="1">
      <alignment horizontal="left" vertical="center"/>
    </xf>
    <xf numFmtId="0" fontId="18" fillId="0" borderId="0" xfId="0" applyFont="1" applyAlignment="1">
      <alignment vertical="center" wrapText="1" indent="1"/>
    </xf>
    <xf numFmtId="0" fontId="23" fillId="0" borderId="1" xfId="0" applyFont="1" applyBorder="1" applyAlignment="1">
      <alignment horizontal="left" vertical="center" wrapText="1"/>
    </xf>
    <xf numFmtId="0" fontId="0" fillId="0" borderId="1" xfId="0" applyBorder="1"/>
    <xf numFmtId="0" fontId="30" fillId="8" borderId="1" xfId="0" applyFont="1" applyFill="1" applyBorder="1" applyAlignment="1">
      <alignment horizontal="center" vertical="center" wrapText="1" indent="1"/>
    </xf>
    <xf numFmtId="0" fontId="29" fillId="11" borderId="1" xfId="0" applyFont="1" applyFill="1" applyBorder="1" applyAlignment="1">
      <alignment horizontal="center" vertical="center" wrapText="1" indent="1"/>
    </xf>
    <xf numFmtId="0" fontId="28" fillId="4" borderId="1" xfId="0" applyFont="1" applyFill="1" applyBorder="1" applyAlignment="1">
      <alignment horizontal="center" vertical="center" wrapText="1" indent="1"/>
    </xf>
    <xf numFmtId="2" fontId="29" fillId="11" borderId="1" xfId="0" applyNumberFormat="1" applyFont="1" applyFill="1" applyBorder="1" applyAlignment="1">
      <alignment horizontal="center" vertical="center" wrapText="1" indent="1"/>
    </xf>
    <xf numFmtId="0" fontId="22" fillId="7" borderId="1" xfId="0" applyFont="1" applyFill="1" applyBorder="1" applyAlignment="1">
      <alignment horizontal="center" vertical="center" indent="1"/>
    </xf>
    <xf numFmtId="0" fontId="0" fillId="7" borderId="1" xfId="0" applyFill="1" applyBorder="1"/>
    <xf numFmtId="0" fontId="33" fillId="15" borderId="1" xfId="0" applyFont="1" applyFill="1" applyBorder="1" applyAlignment="1">
      <alignment horizontal="left" vertical="center" indent="1"/>
    </xf>
    <xf numFmtId="0" fontId="0" fillId="15" borderId="1" xfId="0" applyFill="1" applyBorder="1"/>
    <xf numFmtId="0" fontId="32" fillId="19" borderId="1" xfId="0" applyFont="1" applyFill="1" applyBorder="1" applyAlignment="1">
      <alignment horizontal="left" vertical="center" indent="1"/>
    </xf>
    <xf numFmtId="0" fontId="0" fillId="19" borderId="1" xfId="0" applyFill="1" applyBorder="1"/>
    <xf numFmtId="0" fontId="33" fillId="10" borderId="1" xfId="0" applyFont="1" applyFill="1" applyBorder="1" applyAlignment="1">
      <alignment horizontal="left" vertical="center" indent="1"/>
    </xf>
    <xf numFmtId="0" fontId="0" fillId="10" borderId="1" xfId="0" applyFill="1" applyBorder="1"/>
    <xf numFmtId="0" fontId="13" fillId="6" borderId="1" xfId="0" applyFont="1" applyFill="1" applyBorder="1" applyAlignment="1">
      <alignment horizontal="center" vertical="center" indent="1"/>
    </xf>
    <xf numFmtId="0" fontId="0" fillId="6" borderId="1" xfId="0" applyFill="1" applyBorder="1"/>
    <xf numFmtId="0" fontId="33" fillId="19" borderId="1" xfId="0" applyFont="1" applyFill="1" applyBorder="1" applyAlignment="1">
      <alignment horizontal="left" vertical="center" indent="1"/>
    </xf>
    <xf numFmtId="0" fontId="33" fillId="16" borderId="1" xfId="0" applyFont="1" applyFill="1" applyBorder="1" applyAlignment="1">
      <alignment horizontal="left" vertical="center" indent="1"/>
    </xf>
    <xf numFmtId="0" fontId="0" fillId="16" borderId="1" xfId="0" applyFill="1" applyBorder="1"/>
    <xf numFmtId="0" fontId="33" fillId="9" borderId="1" xfId="0" applyFont="1" applyFill="1" applyBorder="1" applyAlignment="1">
      <alignment horizontal="left" vertical="center" indent="1"/>
    </xf>
    <xf numFmtId="0" fontId="0" fillId="9" borderId="1" xfId="0" applyFill="1" applyBorder="1"/>
    <xf numFmtId="0" fontId="27" fillId="10" borderId="1" xfId="0" applyFont="1" applyFill="1" applyBorder="1" applyAlignment="1">
      <alignment horizontal="left" vertical="center" wrapText="1" indent="1"/>
    </xf>
    <xf numFmtId="0" fontId="27" fillId="9" borderId="1" xfId="0" applyFont="1" applyFill="1" applyBorder="1" applyAlignment="1">
      <alignment horizontal="left" vertical="center" wrapText="1" indent="1"/>
    </xf>
    <xf numFmtId="0" fontId="27" fillId="19" borderId="1" xfId="0" applyFont="1" applyFill="1" applyBorder="1" applyAlignment="1">
      <alignment horizontal="left" vertical="center" wrapText="1" indent="1"/>
    </xf>
    <xf numFmtId="0" fontId="27" fillId="20" borderId="1" xfId="0" applyFont="1" applyFill="1" applyBorder="1" applyAlignment="1">
      <alignment horizontal="left" vertical="center" wrapText="1" indent="1"/>
    </xf>
    <xf numFmtId="0" fontId="0" fillId="20" borderId="1" xfId="0" applyFill="1" applyBorder="1"/>
    <xf numFmtId="0" fontId="32" fillId="10" borderId="1" xfId="0" applyFont="1" applyFill="1" applyBorder="1" applyAlignment="1">
      <alignment horizontal="left" vertical="center" indent="1"/>
    </xf>
    <xf numFmtId="0" fontId="32" fillId="9" borderId="1" xfId="0" applyFont="1" applyFill="1" applyBorder="1" applyAlignment="1">
      <alignment horizontal="left" vertical="center" indent="1"/>
    </xf>
    <xf numFmtId="0" fontId="27" fillId="15" borderId="1" xfId="0" applyFont="1" applyFill="1" applyBorder="1" applyAlignment="1">
      <alignment horizontal="left" vertical="center" wrapText="1" indent="1"/>
    </xf>
    <xf numFmtId="0" fontId="27" fillId="16" borderId="1" xfId="0" applyFont="1" applyFill="1" applyBorder="1" applyAlignment="1">
      <alignment horizontal="left" vertical="center" wrapText="1" indent="1"/>
    </xf>
    <xf numFmtId="0" fontId="32" fillId="15" borderId="1" xfId="0" applyFont="1" applyFill="1" applyBorder="1" applyAlignment="1">
      <alignment horizontal="left" vertical="center" indent="1"/>
    </xf>
    <xf numFmtId="0" fontId="32" fillId="20" borderId="1" xfId="0" applyFont="1" applyFill="1" applyBorder="1" applyAlignment="1">
      <alignment horizontal="left" vertical="center" indent="1"/>
    </xf>
    <xf numFmtId="0" fontId="33" fillId="20" borderId="1" xfId="0" applyFont="1" applyFill="1" applyBorder="1" applyAlignment="1">
      <alignment horizontal="left" vertical="center" indent="1"/>
    </xf>
    <xf numFmtId="0" fontId="13" fillId="5" borderId="1" xfId="0" applyFont="1" applyFill="1" applyBorder="1" applyAlignment="1">
      <alignment horizontal="center" vertical="center" indent="1"/>
    </xf>
    <xf numFmtId="0" fontId="0" fillId="5" borderId="1" xfId="0" applyFill="1" applyBorder="1"/>
    <xf numFmtId="0" fontId="34" fillId="8" borderId="1" xfId="0" applyFont="1" applyFill="1" applyBorder="1" applyAlignment="1">
      <alignment horizontal="center" vertical="center" indent="1"/>
    </xf>
    <xf numFmtId="0" fontId="0" fillId="8" borderId="1" xfId="0" applyFill="1" applyBorder="1"/>
    <xf numFmtId="0" fontId="32" fillId="16" borderId="1" xfId="0" applyFont="1" applyFill="1" applyBorder="1" applyAlignment="1">
      <alignment horizontal="left" vertical="center" indent="1"/>
    </xf>
    <xf numFmtId="2" fontId="29" fillId="11" borderId="1" xfId="0" applyNumberFormat="1" applyFont="1" applyFill="1" applyBorder="1" applyAlignment="1">
      <alignment horizontal="center" vertical="center" indent="1"/>
    </xf>
    <xf numFmtId="1" fontId="29" fillId="11" borderId="1" xfId="0" applyNumberFormat="1" applyFont="1" applyFill="1" applyBorder="1" applyAlignment="1">
      <alignment horizontal="center" vertical="center" indent="1"/>
    </xf>
    <xf numFmtId="165" fontId="29" fillId="11" borderId="1" xfId="0" applyNumberFormat="1" applyFont="1" applyFill="1" applyBorder="1" applyAlignment="1">
      <alignment horizontal="center" vertical="center" indent="1"/>
    </xf>
    <xf numFmtId="0" fontId="22" fillId="4" borderId="1" xfId="0" applyFont="1" applyFill="1" applyBorder="1" applyAlignment="1">
      <alignment horizontal="left" vertical="center" wrapText="1" indent="1"/>
    </xf>
    <xf numFmtId="0" fontId="0" fillId="4" borderId="1" xfId="0" applyFill="1" applyBorder="1"/>
    <xf numFmtId="166" fontId="29" fillId="11" borderId="1" xfId="0" applyNumberFormat="1" applyFont="1" applyFill="1" applyBorder="1" applyAlignment="1">
      <alignment horizontal="center" vertical="center" indent="1"/>
    </xf>
    <xf numFmtId="0" fontId="26" fillId="8" borderId="1" xfId="0" applyFont="1" applyFill="1" applyBorder="1" applyAlignment="1">
      <alignment horizontal="left" vertical="center" wrapText="1" indent="1"/>
    </xf>
    <xf numFmtId="0" fontId="23" fillId="0" borderId="0" xfId="0" applyFont="1" applyAlignment="1">
      <alignment vertical="center" wrapText="1" indent="1"/>
    </xf>
    <xf numFmtId="1" fontId="29" fillId="19" borderId="1" xfId="0" applyNumberFormat="1" applyFont="1" applyFill="1" applyBorder="1" applyAlignment="1">
      <alignment horizontal="center" vertical="center" indent="1"/>
    </xf>
    <xf numFmtId="0" fontId="31" fillId="0" borderId="0" xfId="0" applyFont="1" applyAlignment="1">
      <alignment vertical="center" wrapText="1" indent="1"/>
    </xf>
    <xf numFmtId="166" fontId="29" fillId="19" borderId="1" xfId="0" applyNumberFormat="1" applyFont="1" applyFill="1" applyBorder="1" applyAlignment="1">
      <alignment horizontal="center" vertical="center" indent="1"/>
    </xf>
    <xf numFmtId="0" fontId="25" fillId="0" borderId="0" xfId="0" applyFont="1" applyAlignment="1">
      <alignment wrapText="1" indent="1"/>
    </xf>
  </cellXfs>
  <cellStyles count="1">
    <cellStyle name="Normal" xfId="0" builtinId="0"/>
  </cellStyles>
  <dxfs count="9">
    <dxf>
      <fill>
        <patternFill patternType="solid">
          <fgColor rgb="FFD9EAD3"/>
        </patternFill>
      </fill>
    </dxf>
    <dxf>
      <fill>
        <patternFill patternType="solid">
          <fgColor rgb="FFFBE5D6"/>
        </patternFill>
      </fill>
    </dxf>
    <dxf>
      <fill>
        <patternFill patternType="solid">
          <fgColor rgb="FFFFF2CC"/>
        </patternFill>
      </fill>
    </dxf>
    <dxf>
      <fill>
        <patternFill patternType="solid">
          <fgColor rgb="FFFFF2CC"/>
        </patternFill>
      </fill>
    </dxf>
    <dxf>
      <fill>
        <patternFill patternType="solid">
          <fgColor rgb="FFD9EAD3"/>
        </patternFill>
      </fill>
    </dxf>
    <dxf>
      <fill>
        <patternFill patternType="solid">
          <fgColor rgb="FFF8CBAD"/>
        </patternFill>
      </fill>
    </dxf>
    <dxf>
      <fill>
        <patternFill patternType="solid">
          <fgColor rgb="FFF8CBAD"/>
        </patternFill>
      </fill>
    </dxf>
    <dxf>
      <fill>
        <patternFill patternType="solid">
          <fgColor rgb="FFFFF2CC"/>
        </patternFill>
      </fill>
    </dxf>
    <dxf>
      <fill>
        <patternFill patternType="solid">
          <fgColor rgb="FFD9EAD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Cards by status</a:t>
            </a:r>
          </a:p>
        </c:rich>
      </c:tx>
      <c:overlay val="1"/>
    </c:title>
    <c:autoTitleDeleted val="0"/>
    <c:plotArea>
      <c:layout/>
      <c:barChart>
        <c:barDir val="bar"/>
        <c:grouping val="clustered"/>
        <c:varyColors val="1"/>
        <c:ser>
          <c:idx val="0"/>
          <c:order val="0"/>
          <c:tx>
            <c:strRef>
              <c:f>'Kanban Dashboard'!$B$8</c:f>
              <c:strCache>
                <c:ptCount val="1"/>
                <c:pt idx="0">
                  <c:v>Cards</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'Kanban Dashboard'!$A$9:$A$14</c:f>
              <c:strCache>
                <c:ptCount val="6"/>
                <c:pt idx="0">
                  <c:v>Not started</c:v>
                </c:pt>
                <c:pt idx="1">
                  <c:v>In progress</c:v>
                </c:pt>
                <c:pt idx="2">
                  <c:v>Authored offline (validated, not live)</c:v>
                </c:pt>
                <c:pt idx="3">
                  <c:v>Blocked</c:v>
                </c:pt>
                <c:pt idx="4">
                  <c:v>Gated by Build Option</c:v>
                </c:pt>
                <c:pt idx="5">
                  <c:v>Done</c:v>
                </c:pt>
              </c:strCache>
            </c:strRef>
          </c:cat>
          <c:val>
            <c:numRef>
              <c:f>'Kanban Dashboard'!$B$9:$B$14</c:f>
              <c:numCache>
                <c:formatCode>General</c:formatCode>
                <c:ptCount val="6"/>
                <c:pt idx="0">
                  <c:v>65</c:v>
                </c:pt>
                <c:pt idx="1">
                  <c:v>13</c:v>
                </c:pt>
                <c:pt idx="2">
                  <c:v>9</c:v>
                </c:pt>
                <c:pt idx="3">
                  <c:v>3</c:v>
                </c:pt>
                <c:pt idx="4">
                  <c:v>3</c:v>
                </c:pt>
                <c:pt idx="5">
                  <c:v>59</c:v>
                </c:pt>
              </c:numCache>
            </c:numRef>
          </c:val>
          <c:extLst>
            <c:ext xmlns:c16="http://schemas.microsoft.com/office/drawing/2014/chart" uri="{C3380CC4-5D6E-409C-BE32-E72D297353CC}">
              <c16:uniqueId val="{00000000-6DB7-40CF-AF41-72E04B01B207}"/>
            </c:ext>
          </c:extLst>
        </c:ser>
        <c:dLbls>
          <c:showLegendKey val="1"/>
          <c:showVal val="1"/>
          <c:showCatName val="1"/>
          <c:showSerName val="1"/>
          <c:showPercent val="1"/>
          <c:showBubbleSize val="1"/>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2"/>
  <c:chart>
    <c:title>
      <c:tx>
        <c:rich>
          <a:bodyPr/>
          <a:lstStyle/>
          <a:p>
            <a:pPr>
              <a:defRPr/>
            </a:pPr>
            <a:r>
              <a:rPr lang="en-US"/>
              <a:t>Dev pd by category</a:t>
            </a:r>
          </a:p>
        </c:rich>
      </c:tx>
      <c:overlay val="1"/>
    </c:title>
    <c:autoTitleDeleted val="0"/>
    <c:plotArea>
      <c:layout/>
      <c:barChart>
        <c:barDir val="col"/>
        <c:grouping val="clustered"/>
        <c:varyColors val="1"/>
        <c:ser>
          <c:idx val="0"/>
          <c:order val="0"/>
          <c:tx>
            <c:strRef>
              <c:f>'Kanban Dashboard'!$C$17</c:f>
              <c:strCache>
                <c:ptCount val="1"/>
                <c:pt idx="0">
                  <c:v>Dev pd</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'Kanban Dashboard'!$A$18:$A$33</c:f>
              <c:strCache>
                <c:ptCount val="16"/>
                <c:pt idx="0">
                  <c:v>Environment</c:v>
                </c:pt>
                <c:pt idx="1">
                  <c:v>Database</c:v>
                </c:pt>
                <c:pt idx="2">
                  <c:v>Quality</c:v>
                </c:pt>
                <c:pt idx="3">
                  <c:v>Content &amp; adoption</c:v>
                </c:pt>
                <c:pt idx="4">
                  <c:v>Compliance</c:v>
                </c:pt>
                <c:pt idx="5">
                  <c:v>Release</c:v>
                </c:pt>
                <c:pt idx="6">
                  <c:v>Acceptance</c:v>
                </c:pt>
                <c:pt idx="7">
                  <c:v>Migration</c:v>
                </c:pt>
                <c:pt idx="8">
                  <c:v>W0 Auth &amp; admin</c:v>
                </c:pt>
                <c:pt idx="9">
                  <c:v>W1 Shell</c:v>
                </c:pt>
                <c:pt idx="10">
                  <c:v>W2 Profile &amp; directory</c:v>
                </c:pt>
                <c:pt idx="11">
                  <c:v>W3 Content &amp; events</c:v>
                </c:pt>
                <c:pt idx="12">
                  <c:v>W4 Messaging &amp; channels</c:v>
                </c:pt>
                <c:pt idx="13">
                  <c:v>W5 Jobs &amp; helpdesk</c:v>
                </c:pt>
                <c:pt idx="14">
                  <c:v>W6 Community &amp; partners</c:v>
                </c:pt>
                <c:pt idx="15">
                  <c:v>W7 Reporting</c:v>
                </c:pt>
              </c:strCache>
            </c:strRef>
          </c:cat>
          <c:val>
            <c:numRef>
              <c:f>'Kanban Dashboard'!$C$18:$C$33</c:f>
              <c:numCache>
                <c:formatCode>0.00</c:formatCode>
                <c:ptCount val="16"/>
                <c:pt idx="0">
                  <c:v>17.5</c:v>
                </c:pt>
                <c:pt idx="1">
                  <c:v>57</c:v>
                </c:pt>
                <c:pt idx="2">
                  <c:v>28.5</c:v>
                </c:pt>
                <c:pt idx="3">
                  <c:v>2</c:v>
                </c:pt>
                <c:pt idx="4">
                  <c:v>0</c:v>
                </c:pt>
                <c:pt idx="5">
                  <c:v>3.25</c:v>
                </c:pt>
                <c:pt idx="6">
                  <c:v>16.5</c:v>
                </c:pt>
                <c:pt idx="7">
                  <c:v>5</c:v>
                </c:pt>
                <c:pt idx="8">
                  <c:v>43</c:v>
                </c:pt>
                <c:pt idx="9">
                  <c:v>5</c:v>
                </c:pt>
                <c:pt idx="10">
                  <c:v>30.75</c:v>
                </c:pt>
                <c:pt idx="11">
                  <c:v>16.75</c:v>
                </c:pt>
                <c:pt idx="12">
                  <c:v>29.25</c:v>
                </c:pt>
                <c:pt idx="13">
                  <c:v>17.75</c:v>
                </c:pt>
                <c:pt idx="14">
                  <c:v>36.75</c:v>
                </c:pt>
                <c:pt idx="15">
                  <c:v>7.5</c:v>
                </c:pt>
              </c:numCache>
            </c:numRef>
          </c:val>
          <c:extLst>
            <c:ext xmlns:c16="http://schemas.microsoft.com/office/drawing/2014/chart" uri="{C3380CC4-5D6E-409C-BE32-E72D297353CC}">
              <c16:uniqueId val="{00000000-AFCD-499A-B80A-8EC692528EF3}"/>
            </c:ext>
          </c:extLst>
        </c:ser>
        <c:dLbls>
          <c:showLegendKey val="1"/>
          <c:showVal val="1"/>
          <c:showCatName val="1"/>
          <c:showSerName val="1"/>
          <c:showPercent val="1"/>
          <c:showBubbleSize val="1"/>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6"/>
  <c:chart>
    <c:title>
      <c:tx>
        <c:rich>
          <a:bodyPr/>
          <a:lstStyle/>
          <a:p>
            <a:pPr>
              <a:defRPr/>
            </a:pPr>
            <a:r>
              <a:rPr lang="en-US"/>
              <a:t>Cards by priority tier</a:t>
            </a:r>
          </a:p>
        </c:rich>
      </c:tx>
      <c:overlay val="1"/>
    </c:title>
    <c:autoTitleDeleted val="0"/>
    <c:plotArea>
      <c:layout/>
      <c:doughnutChart>
        <c:varyColors val="1"/>
        <c:ser>
          <c:idx val="0"/>
          <c:order val="0"/>
          <c:tx>
            <c:strRef>
              <c:f>'Kanban Dashboard'!$B$36</c:f>
              <c:strCache>
                <c:ptCount val="1"/>
                <c:pt idx="0">
                  <c:v>Cards</c:v>
                </c:pt>
              </c:strCache>
            </c:strRef>
          </c:tx>
          <c:spPr>
            <a:ln>
              <a:prstDash val="solid"/>
            </a:ln>
          </c:spPr>
          <c:cat>
            <c:strRef>
              <c:f>'Kanban Dashboard'!$A$37:$A$41</c:f>
              <c:strCache>
                <c:ptCount val="5"/>
                <c:pt idx="0">
                  <c:v>P0</c:v>
                </c:pt>
                <c:pt idx="1">
                  <c:v>P1</c:v>
                </c:pt>
                <c:pt idx="2">
                  <c:v>P2</c:v>
                </c:pt>
                <c:pt idx="3">
                  <c:v>P3</c:v>
                </c:pt>
                <c:pt idx="4">
                  <c:v>P4</c:v>
                </c:pt>
              </c:strCache>
            </c:strRef>
          </c:cat>
          <c:val>
            <c:numRef>
              <c:f>'Kanban Dashboard'!$B$37:$B$41</c:f>
              <c:numCache>
                <c:formatCode>General</c:formatCode>
                <c:ptCount val="5"/>
                <c:pt idx="0">
                  <c:v>98</c:v>
                </c:pt>
                <c:pt idx="1">
                  <c:v>30</c:v>
                </c:pt>
                <c:pt idx="2">
                  <c:v>8</c:v>
                </c:pt>
                <c:pt idx="3">
                  <c:v>6</c:v>
                </c:pt>
                <c:pt idx="4">
                  <c:v>10</c:v>
                </c:pt>
              </c:numCache>
            </c:numRef>
          </c:val>
          <c:extLst>
            <c:ext xmlns:c16="http://schemas.microsoft.com/office/drawing/2014/chart" uri="{C3380CC4-5D6E-409C-BE32-E72D297353CC}">
              <c16:uniqueId val="{00000000-FB12-4EE8-A2BE-744499495DEF}"/>
            </c:ext>
          </c:extLst>
        </c:ser>
        <c:dLbls>
          <c:showLegendKey val="0"/>
          <c:showVal val="0"/>
          <c:showCatName val="0"/>
          <c:showSerName val="0"/>
          <c:showPercent val="0"/>
          <c:showBubbleSize val="0"/>
          <c:showLeaderLines val="1"/>
        </c:dLbls>
        <c:firstSliceAng val="0"/>
        <c:holeSize val="10"/>
      </c:doughnutChart>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Dev pd by status</a:t>
            </a:r>
          </a:p>
        </c:rich>
      </c:tx>
      <c:overlay val="1"/>
    </c:title>
    <c:autoTitleDeleted val="0"/>
    <c:plotArea>
      <c:layout/>
      <c:pieChart>
        <c:varyColors val="1"/>
        <c:ser>
          <c:idx val="0"/>
          <c:order val="0"/>
          <c:tx>
            <c:strRef>
              <c:f>'Kanban Dashboard'!$C$8</c:f>
              <c:strCache>
                <c:ptCount val="1"/>
                <c:pt idx="0">
                  <c:v>Dev pd</c:v>
                </c:pt>
              </c:strCache>
            </c:strRef>
          </c:tx>
          <c:spPr>
            <a:ln>
              <a:prstDash val="solid"/>
            </a:ln>
          </c:spPr>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'Kanban Dashboard'!$A$9:$A$14</c:f>
              <c:strCache>
                <c:ptCount val="6"/>
                <c:pt idx="0">
                  <c:v>Not started</c:v>
                </c:pt>
                <c:pt idx="1">
                  <c:v>In progress</c:v>
                </c:pt>
                <c:pt idx="2">
                  <c:v>Authored offline (validated, not live)</c:v>
                </c:pt>
                <c:pt idx="3">
                  <c:v>Blocked</c:v>
                </c:pt>
                <c:pt idx="4">
                  <c:v>Gated by Build Option</c:v>
                </c:pt>
                <c:pt idx="5">
                  <c:v>Done</c:v>
                </c:pt>
              </c:strCache>
            </c:strRef>
          </c:cat>
          <c:val>
            <c:numRef>
              <c:f>'Kanban Dashboard'!$C$9:$C$14</c:f>
              <c:numCache>
                <c:formatCode>0.00</c:formatCode>
                <c:ptCount val="6"/>
                <c:pt idx="0">
                  <c:v>100</c:v>
                </c:pt>
                <c:pt idx="1">
                  <c:v>43.75</c:v>
                </c:pt>
                <c:pt idx="2">
                  <c:v>17.75</c:v>
                </c:pt>
                <c:pt idx="3">
                  <c:v>3</c:v>
                </c:pt>
                <c:pt idx="4">
                  <c:v>15</c:v>
                </c:pt>
                <c:pt idx="5">
                  <c:v>137</c:v>
                </c:pt>
              </c:numCache>
            </c:numRef>
          </c:val>
          <c:extLst>
            <c:ext xmlns:c16="http://schemas.microsoft.com/office/drawing/2014/chart" uri="{C3380CC4-5D6E-409C-BE32-E72D297353CC}">
              <c16:uniqueId val="{00000000-14E2-42D2-9793-5C604F8E9F42}"/>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Committed vs delivered vs 3-sprint average (SP)</a:t>
            </a:r>
          </a:p>
        </c:rich>
      </c:tx>
      <c:overlay val="1"/>
    </c:title>
    <c:autoTitleDeleted val="0"/>
    <c:plotArea>
      <c:layout/>
      <c:barChart>
        <c:barDir val="col"/>
        <c:grouping val="clustered"/>
        <c:varyColors val="1"/>
        <c:ser>
          <c:idx val="0"/>
          <c:order val="0"/>
          <c:tx>
            <c:strRef>
              <c:f>'Sprint Planner Dashboard'!$B$10</c:f>
              <c:strCache>
                <c:ptCount val="1"/>
                <c:pt idx="0">
                  <c:v>Committed (SP)</c:v>
                </c:pt>
              </c:strCache>
            </c:strRef>
          </c:tx>
          <c:spPr>
            <a:ln>
              <a:prstDash val="solid"/>
            </a:ln>
          </c:spPr>
          <c:invertIfNegative val="1"/>
          <c:cat>
            <c:strRef>
              <c:f>'Sprint Planner Dashboard'!$A$11:$A$22</c:f>
              <c:strCache>
                <c:ptCount val="12"/>
                <c:pt idx="0">
                  <c:v>Sprint 1</c:v>
                </c:pt>
                <c:pt idx="1">
                  <c:v>Sprint 2</c:v>
                </c:pt>
                <c:pt idx="2">
                  <c:v>Sprint 3</c:v>
                </c:pt>
                <c:pt idx="3">
                  <c:v>Sprint 4</c:v>
                </c:pt>
                <c:pt idx="4">
                  <c:v>Sprint 5</c:v>
                </c:pt>
                <c:pt idx="5">
                  <c:v>Sprint 6</c:v>
                </c:pt>
                <c:pt idx="6">
                  <c:v>Sprint 7</c:v>
                </c:pt>
                <c:pt idx="7">
                  <c:v>Sprint 8</c:v>
                </c:pt>
                <c:pt idx="8">
                  <c:v>Sprint 9</c:v>
                </c:pt>
                <c:pt idx="9">
                  <c:v>Sprint 10</c:v>
                </c:pt>
                <c:pt idx="10">
                  <c:v>Sprint 11</c:v>
                </c:pt>
                <c:pt idx="11">
                  <c:v>Sprint 12</c:v>
                </c:pt>
              </c:strCache>
            </c:strRef>
          </c:cat>
          <c:val>
            <c:numRef>
              <c:f>'Sprint Planner Dashboard'!$B$11:$B$22</c:f>
              <c:numCache>
                <c:formatCode>0.0</c:formatCode>
                <c:ptCount val="12"/>
                <c:pt idx="0">
                  <c:v>32</c:v>
                </c:pt>
                <c:pt idx="1">
                  <c:v>34</c:v>
                </c:pt>
                <c:pt idx="2">
                  <c:v>30</c:v>
                </c:pt>
                <c:pt idx="3">
                  <c:v>36</c:v>
                </c:pt>
                <c:pt idx="4">
                  <c:v>33</c:v>
                </c:pt>
                <c:pt idx="5">
                  <c:v>38</c:v>
                </c:pt>
                <c:pt idx="6">
                  <c:v>35</c:v>
                </c:pt>
                <c:pt idx="7">
                  <c:v>40</c:v>
                </c:pt>
                <c:pt idx="8">
                  <c:v>37</c:v>
                </c:pt>
                <c:pt idx="9">
                  <c:v>42</c:v>
                </c:pt>
                <c:pt idx="10">
                  <c:v>39</c:v>
                </c:pt>
                <c:pt idx="11">
                  <c:v>44</c:v>
                </c:pt>
              </c:numCache>
            </c:numRef>
          </c:val>
          <c:extLst>
            <c:ext xmlns:c16="http://schemas.microsoft.com/office/drawing/2014/chart" uri="{C3380CC4-5D6E-409C-BE32-E72D297353CC}">
              <c16:uniqueId val="{00000000-8034-4E73-BB8E-C7CB89C11EF7}"/>
            </c:ext>
          </c:extLst>
        </c:ser>
        <c:ser>
          <c:idx val="1"/>
          <c:order val="1"/>
          <c:tx>
            <c:strRef>
              <c:f>'Sprint Planner Dashboard'!$C$10</c:f>
              <c:strCache>
                <c:ptCount val="1"/>
                <c:pt idx="0">
                  <c:v>Delivered (SP)</c:v>
                </c:pt>
              </c:strCache>
            </c:strRef>
          </c:tx>
          <c:spPr>
            <a:ln>
              <a:prstDash val="solid"/>
            </a:ln>
          </c:spPr>
          <c:invertIfNegative val="1"/>
          <c:cat>
            <c:strRef>
              <c:f>'Sprint Planner Dashboard'!$A$11:$A$22</c:f>
              <c:strCache>
                <c:ptCount val="12"/>
                <c:pt idx="0">
                  <c:v>Sprint 1</c:v>
                </c:pt>
                <c:pt idx="1">
                  <c:v>Sprint 2</c:v>
                </c:pt>
                <c:pt idx="2">
                  <c:v>Sprint 3</c:v>
                </c:pt>
                <c:pt idx="3">
                  <c:v>Sprint 4</c:v>
                </c:pt>
                <c:pt idx="4">
                  <c:v>Sprint 5</c:v>
                </c:pt>
                <c:pt idx="5">
                  <c:v>Sprint 6</c:v>
                </c:pt>
                <c:pt idx="6">
                  <c:v>Sprint 7</c:v>
                </c:pt>
                <c:pt idx="7">
                  <c:v>Sprint 8</c:v>
                </c:pt>
                <c:pt idx="8">
                  <c:v>Sprint 9</c:v>
                </c:pt>
                <c:pt idx="9">
                  <c:v>Sprint 10</c:v>
                </c:pt>
                <c:pt idx="10">
                  <c:v>Sprint 11</c:v>
                </c:pt>
                <c:pt idx="11">
                  <c:v>Sprint 12</c:v>
                </c:pt>
              </c:strCache>
            </c:strRef>
          </c:cat>
          <c:val>
            <c:numRef>
              <c:f>'Sprint Planner Dashboard'!$C$11:$C$22</c:f>
              <c:numCache>
                <c:formatCode>0.0</c:formatCode>
                <c:ptCount val="12"/>
                <c:pt idx="0">
                  <c:v>27</c:v>
                </c:pt>
                <c:pt idx="1">
                  <c:v>30</c:v>
                </c:pt>
                <c:pt idx="2">
                  <c:v>25</c:v>
                </c:pt>
                <c:pt idx="3">
                  <c:v>33</c:v>
                </c:pt>
                <c:pt idx="4">
                  <c:v>29</c:v>
                </c:pt>
                <c:pt idx="5">
                  <c:v>35</c:v>
                </c:pt>
                <c:pt idx="6">
                  <c:v>33</c:v>
                </c:pt>
                <c:pt idx="7">
                  <c:v>37</c:v>
                </c:pt>
                <c:pt idx="8">
                  <c:v>35</c:v>
                </c:pt>
                <c:pt idx="9">
                  <c:v>39</c:v>
                </c:pt>
                <c:pt idx="10">
                  <c:v>37</c:v>
                </c:pt>
                <c:pt idx="11">
                  <c:v>42</c:v>
                </c:pt>
              </c:numCache>
            </c:numRef>
          </c:val>
          <c:extLst>
            <c:ext xmlns:c16="http://schemas.microsoft.com/office/drawing/2014/chart" uri="{C3380CC4-5D6E-409C-BE32-E72D297353CC}">
              <c16:uniqueId val="{00000001-8034-4E73-BB8E-C7CB89C11EF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Sprint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Story points</a:t>
                </a:r>
              </a:p>
            </c:rich>
          </c:tx>
          <c:overlay val="1"/>
        </c:title>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2"/>
  <c:chart>
    <c:title>
      <c:tx>
        <c:rich>
          <a:bodyPr/>
          <a:lstStyle/>
          <a:p>
            <a:pPr>
              <a:defRPr/>
            </a:pPr>
            <a:r>
              <a:rPr lang="en-US"/>
              <a:t>Completion rate vs 3-sprint average</a:t>
            </a:r>
          </a:p>
        </c:rich>
      </c:tx>
      <c:overlay val="1"/>
    </c:title>
    <c:autoTitleDeleted val="0"/>
    <c:plotArea>
      <c:layout/>
      <c:lineChart>
        <c:grouping val="standard"/>
        <c:varyColors val="1"/>
        <c:ser>
          <c:idx val="0"/>
          <c:order val="0"/>
          <c:tx>
            <c:strRef>
              <c:f>'Sprint Planner Dashboard'!$D$10</c:f>
              <c:strCache>
                <c:ptCount val="1"/>
                <c:pt idx="0">
                  <c:v>Completion %</c:v>
                </c:pt>
              </c:strCache>
            </c:strRef>
          </c:tx>
          <c:spPr>
            <a:ln>
              <a:prstDash val="solid"/>
            </a:ln>
          </c:spPr>
          <c:marker>
            <c:symbol val="none"/>
          </c:marker>
          <c:cat>
            <c:strRef>
              <c:f>'Sprint Planner Dashboard'!$A$11:$A$22</c:f>
              <c:strCache>
                <c:ptCount val="12"/>
                <c:pt idx="0">
                  <c:v>Sprint 1</c:v>
                </c:pt>
                <c:pt idx="1">
                  <c:v>Sprint 2</c:v>
                </c:pt>
                <c:pt idx="2">
                  <c:v>Sprint 3</c:v>
                </c:pt>
                <c:pt idx="3">
                  <c:v>Sprint 4</c:v>
                </c:pt>
                <c:pt idx="4">
                  <c:v>Sprint 5</c:v>
                </c:pt>
                <c:pt idx="5">
                  <c:v>Sprint 6</c:v>
                </c:pt>
                <c:pt idx="6">
                  <c:v>Sprint 7</c:v>
                </c:pt>
                <c:pt idx="7">
                  <c:v>Sprint 8</c:v>
                </c:pt>
                <c:pt idx="8">
                  <c:v>Sprint 9</c:v>
                </c:pt>
                <c:pt idx="9">
                  <c:v>Sprint 10</c:v>
                </c:pt>
                <c:pt idx="10">
                  <c:v>Sprint 11</c:v>
                </c:pt>
                <c:pt idx="11">
                  <c:v>Sprint 12</c:v>
                </c:pt>
              </c:strCache>
            </c:strRef>
          </c:cat>
          <c:val>
            <c:numRef>
              <c:f>'Sprint Planner Dashboard'!$D$11:$D$22</c:f>
              <c:numCache>
                <c:formatCode>0.0%</c:formatCode>
                <c:ptCount val="12"/>
                <c:pt idx="0">
                  <c:v>0.84375</c:v>
                </c:pt>
                <c:pt idx="1">
                  <c:v>0.88235294117647056</c:v>
                </c:pt>
                <c:pt idx="2">
                  <c:v>0.83333333333333337</c:v>
                </c:pt>
                <c:pt idx="3">
                  <c:v>0.91666666666666663</c:v>
                </c:pt>
                <c:pt idx="4">
                  <c:v>0.87878787878787878</c:v>
                </c:pt>
                <c:pt idx="5">
                  <c:v>0.92105263157894735</c:v>
                </c:pt>
                <c:pt idx="6">
                  <c:v>0.94285714285714284</c:v>
                </c:pt>
                <c:pt idx="7">
                  <c:v>0.92500000000000004</c:v>
                </c:pt>
                <c:pt idx="8">
                  <c:v>0.94594594594594594</c:v>
                </c:pt>
                <c:pt idx="9">
                  <c:v>0.9285714285714286</c:v>
                </c:pt>
                <c:pt idx="10">
                  <c:v>0.94871794871794868</c:v>
                </c:pt>
                <c:pt idx="11">
                  <c:v>0.95454545454545459</c:v>
                </c:pt>
              </c:numCache>
            </c:numRef>
          </c:val>
          <c:smooth val="1"/>
          <c:extLst>
            <c:ext xmlns:c16="http://schemas.microsoft.com/office/drawing/2014/chart" uri="{C3380CC4-5D6E-409C-BE32-E72D297353CC}">
              <c16:uniqueId val="{00000000-08E3-4542-8D64-6E9BC5BBD72E}"/>
            </c:ext>
          </c:extLst>
        </c:ser>
        <c:ser>
          <c:idx val="1"/>
          <c:order val="1"/>
          <c:tx>
            <c:strRef>
              <c:f>'Sprint Planner Dashboard'!$E$10</c:f>
              <c:strCache>
                <c:ptCount val="1"/>
                <c:pt idx="0">
                  <c:v>3-sprint avg</c:v>
                </c:pt>
              </c:strCache>
            </c:strRef>
          </c:tx>
          <c:spPr>
            <a:ln>
              <a:prstDash val="solid"/>
            </a:ln>
          </c:spPr>
          <c:marker>
            <c:symbol val="none"/>
          </c:marker>
          <c:cat>
            <c:strRef>
              <c:f>'Sprint Planner Dashboard'!$A$11:$A$22</c:f>
              <c:strCache>
                <c:ptCount val="12"/>
                <c:pt idx="0">
                  <c:v>Sprint 1</c:v>
                </c:pt>
                <c:pt idx="1">
                  <c:v>Sprint 2</c:v>
                </c:pt>
                <c:pt idx="2">
                  <c:v>Sprint 3</c:v>
                </c:pt>
                <c:pt idx="3">
                  <c:v>Sprint 4</c:v>
                </c:pt>
                <c:pt idx="4">
                  <c:v>Sprint 5</c:v>
                </c:pt>
                <c:pt idx="5">
                  <c:v>Sprint 6</c:v>
                </c:pt>
                <c:pt idx="6">
                  <c:v>Sprint 7</c:v>
                </c:pt>
                <c:pt idx="7">
                  <c:v>Sprint 8</c:v>
                </c:pt>
                <c:pt idx="8">
                  <c:v>Sprint 9</c:v>
                </c:pt>
                <c:pt idx="9">
                  <c:v>Sprint 10</c:v>
                </c:pt>
                <c:pt idx="10">
                  <c:v>Sprint 11</c:v>
                </c:pt>
                <c:pt idx="11">
                  <c:v>Sprint 12</c:v>
                </c:pt>
              </c:strCache>
            </c:strRef>
          </c:cat>
          <c:val>
            <c:numRef>
              <c:f>'Sprint Planner Dashboard'!$E$11:$E$22</c:f>
              <c:numCache>
                <c:formatCode>0.0</c:formatCode>
                <c:ptCount val="12"/>
                <c:pt idx="0">
                  <c:v>27</c:v>
                </c:pt>
                <c:pt idx="1">
                  <c:v>28.5</c:v>
                </c:pt>
                <c:pt idx="2">
                  <c:v>27.333333333333332</c:v>
                </c:pt>
                <c:pt idx="3">
                  <c:v>29.333333333333332</c:v>
                </c:pt>
                <c:pt idx="4">
                  <c:v>29</c:v>
                </c:pt>
                <c:pt idx="5">
                  <c:v>32.333333333333336</c:v>
                </c:pt>
                <c:pt idx="6">
                  <c:v>32.333333333333336</c:v>
                </c:pt>
                <c:pt idx="7">
                  <c:v>35</c:v>
                </c:pt>
                <c:pt idx="8">
                  <c:v>35</c:v>
                </c:pt>
                <c:pt idx="9">
                  <c:v>37</c:v>
                </c:pt>
                <c:pt idx="10">
                  <c:v>37</c:v>
                </c:pt>
                <c:pt idx="11">
                  <c:v>39.333333333333336</c:v>
                </c:pt>
              </c:numCache>
            </c:numRef>
          </c:val>
          <c:smooth val="1"/>
          <c:extLst>
            <c:ext xmlns:c16="http://schemas.microsoft.com/office/drawing/2014/chart" uri="{C3380CC4-5D6E-409C-BE32-E72D297353CC}">
              <c16:uniqueId val="{00000001-08E3-4542-8D64-6E9BC5BBD72E}"/>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Sprint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a:t>
                </a:r>
              </a:p>
            </c:rich>
          </c:tx>
          <c:overlay val="1"/>
        </c:title>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2"/>
  <c:chart>
    <c:title>
      <c:tx>
        <c:rich>
          <a:bodyPr/>
          <a:lstStyle/>
          <a:p>
            <a:pPr>
              <a:defRPr/>
            </a:pPr>
            <a:r>
              <a:t>Resource story-point capacity - current sprint</a:t>
            </a:r>
          </a:p>
        </c:rich>
      </c:tx>
      <c:overlay val="1"/>
    </c:title>
    <c:autoTitleDeleted val="0"/>
    <c:plotArea>
      <c:layout/>
      <c:barChart>
        <c:barDir val="col"/>
        <c:grouping val="clustered"/>
        <c:varyColors val="1"/>
        <c:ser>
          <c:idx val="0"/>
          <c:order val="0"/>
          <c:tx>
            <c:strRef>
              <c:f>'Sprint Planner Dashboard'!$D$29</c:f>
              <c:strCache>
                <c:ptCount val="1"/>
                <c:pt idx="0">
                  <c:v>Story-point capacity</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'Sprint Planner Dashboard'!$B$30:$B$39</c:f>
              <c:strCache>
                <c:ptCount val="10"/>
                <c:pt idx="0">
                  <c:v>Product Owner</c:v>
                </c:pt>
                <c:pt idx="1">
                  <c:v>Scrum Master / Delivery Lead</c:v>
                </c:pt>
                <c:pt idx="2">
                  <c:v>UX Lead</c:v>
                </c:pt>
                <c:pt idx="3">
                  <c:v>UI / Visual Designer</c:v>
                </c:pt>
                <c:pt idx="4">
                  <c:v>Design Systems / Front-end</c:v>
                </c:pt>
                <c:pt idx="5">
                  <c:v>Back-end Engineer</c:v>
                </c:pt>
                <c:pt idx="6">
                  <c:v>Solution Architect</c:v>
                </c:pt>
                <c:pt idx="7">
                  <c:v>Accessibility / QA Lead</c:v>
                </c:pt>
                <c:pt idx="8">
                  <c:v>Content Strategist</c:v>
                </c:pt>
                <c:pt idx="9">
                  <c:v>Change &amp; Comms Lead</c:v>
                </c:pt>
              </c:strCache>
            </c:strRef>
          </c:cat>
          <c:val>
            <c:numRef>
              <c:f>'Sprint Planner Dashboard'!$D$30:$D$39</c:f>
              <c:numCache>
                <c:formatCode>0.0</c:formatCode>
                <c:ptCount val="10"/>
                <c:pt idx="0">
                  <c:v>2.875</c:v>
                </c:pt>
                <c:pt idx="1">
                  <c:v>2.875</c:v>
                </c:pt>
                <c:pt idx="2">
                  <c:v>7.875</c:v>
                </c:pt>
                <c:pt idx="3">
                  <c:v>7.875</c:v>
                </c:pt>
                <c:pt idx="4">
                  <c:v>7.875</c:v>
                </c:pt>
                <c:pt idx="5">
                  <c:v>7.875</c:v>
                </c:pt>
                <c:pt idx="6">
                  <c:v>2.875</c:v>
                </c:pt>
                <c:pt idx="7">
                  <c:v>7.875</c:v>
                </c:pt>
                <c:pt idx="8">
                  <c:v>2.875</c:v>
                </c:pt>
                <c:pt idx="9">
                  <c:v>2.875</c:v>
                </c:pt>
              </c:numCache>
            </c:numRef>
          </c:val>
          <c:extLst>
            <c:ext xmlns:c16="http://schemas.microsoft.com/office/drawing/2014/chart" uri="{C3380CC4-5D6E-409C-BE32-E72D297353CC}">
              <c16:uniqueId val="{00000000-816C-4E81-B97A-E698DB8E928C}"/>
            </c:ext>
          </c:extLst>
        </c:ser>
        <c:dLbls>
          <c:showLegendKey val="1"/>
          <c:showVal val="1"/>
          <c:showCatName val="1"/>
          <c:showSerName val="1"/>
          <c:showPercent val="1"/>
          <c:showBubbleSize val="1"/>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Story points</a:t>
                </a:r>
              </a:p>
            </c:rich>
          </c:tx>
          <c:overlay val="1"/>
        </c:title>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Tasks by status (iteration 23)</a:t>
            </a:r>
          </a:p>
        </c:rich>
      </c:tx>
      <c:overlay val="1"/>
    </c:title>
    <c:autoTitleDeleted val="0"/>
    <c:plotArea>
      <c:layout/>
      <c:barChart>
        <c:barDir val="bar"/>
        <c:grouping val="clustered"/>
        <c:varyColors val="1"/>
        <c:ser>
          <c:idx val="0"/>
          <c:order val="0"/>
          <c:tx>
            <c:strRef>
              <c:f>'Status Report'!$B$17</c:f>
              <c:strCache>
                <c:ptCount val="1"/>
                <c:pt idx="0">
                  <c:v>Tasks</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'Status Report'!$A$18:$A$23</c:f>
              <c:strCache>
                <c:ptCount val="6"/>
                <c:pt idx="0">
                  <c:v>Done</c:v>
                </c:pt>
                <c:pt idx="1">
                  <c:v>In progress</c:v>
                </c:pt>
                <c:pt idx="2">
                  <c:v>Authored, untested</c:v>
                </c:pt>
                <c:pt idx="3">
                  <c:v>Blocked</c:v>
                </c:pt>
                <c:pt idx="4">
                  <c:v>Gated by build option</c:v>
                </c:pt>
                <c:pt idx="5">
                  <c:v>Not started</c:v>
                </c:pt>
              </c:strCache>
            </c:strRef>
          </c:cat>
          <c:val>
            <c:numRef>
              <c:f>'Status Report'!$B$18:$B$23</c:f>
              <c:numCache>
                <c:formatCode>General</c:formatCode>
                <c:ptCount val="6"/>
                <c:pt idx="0">
                  <c:v>61</c:v>
                </c:pt>
                <c:pt idx="1">
                  <c:v>13</c:v>
                </c:pt>
                <c:pt idx="2">
                  <c:v>9</c:v>
                </c:pt>
                <c:pt idx="3">
                  <c:v>3</c:v>
                </c:pt>
                <c:pt idx="4">
                  <c:v>3</c:v>
                </c:pt>
                <c:pt idx="5">
                  <c:v>65</c:v>
                </c:pt>
              </c:numCache>
            </c:numRef>
          </c:val>
          <c:extLst>
            <c:ext xmlns:c16="http://schemas.microsoft.com/office/drawing/2014/chart" uri="{C3380CC4-5D6E-409C-BE32-E72D297353CC}">
              <c16:uniqueId val="{00000000-A179-4F74-BC85-239BFB20716A}"/>
            </c:ext>
          </c:extLst>
        </c:ser>
        <c:dLbls>
          <c:showLegendKey val="1"/>
          <c:showVal val="1"/>
          <c:showCatName val="1"/>
          <c:showSerName val="1"/>
          <c:showPercent val="1"/>
          <c:showBubbleSize val="1"/>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5</xdr:col>
      <xdr:colOff>0</xdr:colOff>
      <xdr:row>3</xdr:row>
      <xdr:rowOff>0</xdr:rowOff>
    </xdr:from>
    <xdr:ext cx="4320000" cy="2700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19</xdr:row>
      <xdr:rowOff>0</xdr:rowOff>
    </xdr:from>
    <xdr:ext cx="4320000" cy="2700000"/>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35</xdr:row>
      <xdr:rowOff>0</xdr:rowOff>
    </xdr:from>
    <xdr:ext cx="4320000" cy="2700000"/>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0</xdr:colOff>
      <xdr:row>51</xdr:row>
      <xdr:rowOff>0</xdr:rowOff>
    </xdr:from>
    <xdr:ext cx="4320000" cy="2700000"/>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5</xdr:row>
      <xdr:rowOff>0</xdr:rowOff>
    </xdr:from>
    <xdr:ext cx="4680000" cy="2700000"/>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23</xdr:row>
      <xdr:rowOff>0</xdr:rowOff>
    </xdr:from>
    <xdr:ext cx="4680000" cy="2700000"/>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8</xdr:col>
      <xdr:colOff>0</xdr:colOff>
      <xdr:row>41</xdr:row>
      <xdr:rowOff>0</xdr:rowOff>
    </xdr:from>
    <xdr:ext cx="4680000" cy="2700000"/>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3</xdr:row>
      <xdr:rowOff>0</xdr:rowOff>
    </xdr:from>
    <xdr:ext cx="4680000" cy="2700000"/>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showGridLines="0" tabSelected="1" workbookViewId="0">
      <selection sqref="A1:D1"/>
    </sheetView>
  </sheetViews>
  <sheetFormatPr defaultRowHeight="14.5" x14ac:dyDescent="0.35"/>
  <cols>
    <col min="1" max="1" width="32" customWidth="1"/>
    <col min="2" max="2" width="62" customWidth="1"/>
    <col min="3" max="3" width="40" customWidth="1"/>
    <col min="4" max="4" width="30" customWidth="1"/>
  </cols>
  <sheetData>
    <row r="1" spans="1:4" ht="30" customHeight="1" x14ac:dyDescent="0.35">
      <c r="A1" s="119" t="s">
        <v>0</v>
      </c>
      <c r="B1" s="120"/>
      <c r="C1" s="120"/>
      <c r="D1" s="120"/>
    </row>
    <row r="2" spans="1:4" ht="18" customHeight="1" x14ac:dyDescent="0.35">
      <c r="A2" s="125" t="s">
        <v>1</v>
      </c>
      <c r="B2" s="120"/>
      <c r="C2" s="120"/>
      <c r="D2" s="120"/>
    </row>
    <row r="4" spans="1:4" ht="17" x14ac:dyDescent="0.4">
      <c r="A4" s="124" t="s">
        <v>2</v>
      </c>
      <c r="B4" s="120"/>
      <c r="C4" s="120"/>
      <c r="D4" s="120"/>
    </row>
    <row r="6" spans="1:4" ht="22" customHeight="1" x14ac:dyDescent="0.35">
      <c r="A6" s="122" t="s">
        <v>3</v>
      </c>
      <c r="B6" s="120"/>
      <c r="C6" s="120"/>
      <c r="D6" s="120"/>
    </row>
    <row r="7" spans="1:4" x14ac:dyDescent="0.35">
      <c r="A7" s="1" t="s">
        <v>4</v>
      </c>
      <c r="B7" s="2" t="s">
        <v>5</v>
      </c>
    </row>
    <row r="8" spans="1:4" x14ac:dyDescent="0.35">
      <c r="A8" s="1" t="s">
        <v>6</v>
      </c>
      <c r="B8" s="2" t="s">
        <v>7</v>
      </c>
    </row>
    <row r="9" spans="1:4" x14ac:dyDescent="0.35">
      <c r="A9" s="1" t="s">
        <v>8</v>
      </c>
      <c r="B9" s="2" t="s">
        <v>9</v>
      </c>
    </row>
    <row r="10" spans="1:4" x14ac:dyDescent="0.35">
      <c r="A10" s="1" t="s">
        <v>10</v>
      </c>
      <c r="B10" s="2" t="s">
        <v>11</v>
      </c>
    </row>
    <row r="11" spans="1:4" x14ac:dyDescent="0.35">
      <c r="A11" s="1" t="s">
        <v>12</v>
      </c>
      <c r="B11" s="2" t="s">
        <v>13</v>
      </c>
    </row>
    <row r="12" spans="1:4" ht="26" x14ac:dyDescent="0.35">
      <c r="A12" s="1" t="s">
        <v>14</v>
      </c>
      <c r="B12" s="2" t="s">
        <v>15</v>
      </c>
    </row>
    <row r="13" spans="1:4" x14ac:dyDescent="0.35">
      <c r="A13" s="1" t="s">
        <v>16</v>
      </c>
      <c r="B13" s="2" t="s">
        <v>17</v>
      </c>
    </row>
    <row r="14" spans="1:4" ht="26" x14ac:dyDescent="0.35">
      <c r="A14" s="1" t="s">
        <v>18</v>
      </c>
      <c r="B14" s="2" t="s">
        <v>19</v>
      </c>
    </row>
    <row r="15" spans="1:4" x14ac:dyDescent="0.35">
      <c r="A15" s="1" t="s">
        <v>20</v>
      </c>
      <c r="B15" s="2" t="s">
        <v>21</v>
      </c>
    </row>
    <row r="16" spans="1:4" x14ac:dyDescent="0.35">
      <c r="A16" s="1" t="s">
        <v>22</v>
      </c>
      <c r="B16" s="2" t="s">
        <v>23</v>
      </c>
    </row>
    <row r="17" spans="1:4" x14ac:dyDescent="0.35">
      <c r="A17" s="1" t="s">
        <v>24</v>
      </c>
      <c r="B17" s="2" t="s">
        <v>25</v>
      </c>
    </row>
    <row r="18" spans="1:4" x14ac:dyDescent="0.35">
      <c r="A18" s="1" t="s">
        <v>26</v>
      </c>
      <c r="B18" s="2" t="s">
        <v>27</v>
      </c>
    </row>
    <row r="19" spans="1:4" x14ac:dyDescent="0.35">
      <c r="A19" s="1" t="s">
        <v>28</v>
      </c>
      <c r="B19" s="2" t="s">
        <v>29</v>
      </c>
    </row>
    <row r="20" spans="1:4" x14ac:dyDescent="0.35">
      <c r="A20" s="1" t="s">
        <v>30</v>
      </c>
      <c r="B20" s="2" t="s">
        <v>31</v>
      </c>
    </row>
    <row r="22" spans="1:4" ht="22" customHeight="1" x14ac:dyDescent="0.35">
      <c r="A22" s="122" t="s">
        <v>32</v>
      </c>
      <c r="B22" s="120"/>
      <c r="C22" s="120"/>
      <c r="D22" s="120"/>
    </row>
    <row r="23" spans="1:4" x14ac:dyDescent="0.35">
      <c r="A23" s="121" t="s">
        <v>33</v>
      </c>
      <c r="B23" s="120"/>
      <c r="C23" s="120"/>
      <c r="D23" s="120"/>
    </row>
    <row r="24" spans="1:4" x14ac:dyDescent="0.35">
      <c r="A24" s="121" t="s">
        <v>34</v>
      </c>
      <c r="B24" s="120"/>
      <c r="C24" s="120"/>
      <c r="D24" s="120"/>
    </row>
    <row r="25" spans="1:4" x14ac:dyDescent="0.35">
      <c r="A25" s="121" t="s">
        <v>35</v>
      </c>
      <c r="B25" s="120"/>
      <c r="C25" s="120"/>
      <c r="D25" s="120"/>
    </row>
    <row r="26" spans="1:4" x14ac:dyDescent="0.35">
      <c r="A26" s="121" t="s">
        <v>36</v>
      </c>
      <c r="B26" s="120"/>
      <c r="C26" s="120"/>
      <c r="D26" s="120"/>
    </row>
    <row r="27" spans="1:4" x14ac:dyDescent="0.35">
      <c r="A27" s="121" t="s">
        <v>37</v>
      </c>
      <c r="B27" s="120"/>
      <c r="C27" s="120"/>
      <c r="D27" s="120"/>
    </row>
    <row r="28" spans="1:4" x14ac:dyDescent="0.35">
      <c r="A28" s="121" t="s">
        <v>38</v>
      </c>
      <c r="B28" s="120"/>
      <c r="C28" s="120"/>
      <c r="D28" s="120"/>
    </row>
    <row r="29" spans="1:4" x14ac:dyDescent="0.35">
      <c r="A29" s="121" t="s">
        <v>39</v>
      </c>
      <c r="B29" s="120"/>
      <c r="C29" s="120"/>
      <c r="D29" s="120"/>
    </row>
    <row r="30" spans="1:4" x14ac:dyDescent="0.35">
      <c r="A30" s="121" t="s">
        <v>40</v>
      </c>
      <c r="B30" s="120"/>
      <c r="C30" s="120"/>
      <c r="D30" s="120"/>
    </row>
    <row r="31" spans="1:4" x14ac:dyDescent="0.35">
      <c r="A31" s="121" t="s">
        <v>41</v>
      </c>
      <c r="B31" s="120"/>
      <c r="C31" s="120"/>
      <c r="D31" s="120"/>
    </row>
    <row r="32" spans="1:4" x14ac:dyDescent="0.35">
      <c r="A32" s="121" t="s">
        <v>42</v>
      </c>
      <c r="B32" s="120"/>
      <c r="C32" s="120"/>
      <c r="D32" s="120"/>
    </row>
    <row r="34" spans="1:4" x14ac:dyDescent="0.35">
      <c r="A34" s="123" t="s">
        <v>43</v>
      </c>
      <c r="B34" s="120"/>
      <c r="C34" s="120"/>
      <c r="D34" s="120"/>
    </row>
  </sheetData>
  <mergeCells count="16">
    <mergeCell ref="A34:D34"/>
    <mergeCell ref="A4:D4"/>
    <mergeCell ref="A26:D26"/>
    <mergeCell ref="A30:D30"/>
    <mergeCell ref="A29:D29"/>
    <mergeCell ref="A25:D25"/>
    <mergeCell ref="A24:D24"/>
    <mergeCell ref="A28:D28"/>
    <mergeCell ref="A32:D32"/>
    <mergeCell ref="A1:D1"/>
    <mergeCell ref="A23:D23"/>
    <mergeCell ref="A27:D27"/>
    <mergeCell ref="A31:D31"/>
    <mergeCell ref="A6:D6"/>
    <mergeCell ref="A22:D22"/>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2"/>
  <sheetViews>
    <sheetView showGridLines="0" workbookViewId="0">
      <selection sqref="A1:F1"/>
    </sheetView>
  </sheetViews>
  <sheetFormatPr defaultRowHeight="14.5" x14ac:dyDescent="0.35"/>
  <cols>
    <col min="1" max="1" width="24" customWidth="1"/>
    <col min="2" max="2" width="70" customWidth="1"/>
    <col min="3" max="3" width="58" customWidth="1"/>
    <col min="4" max="4" width="26" customWidth="1"/>
    <col min="5" max="6" width="20" customWidth="1"/>
  </cols>
  <sheetData>
    <row r="1" spans="1:6" ht="30" customHeight="1" x14ac:dyDescent="0.35">
      <c r="A1" s="119" t="s">
        <v>44</v>
      </c>
      <c r="B1" s="120"/>
      <c r="C1" s="120"/>
      <c r="D1" s="120"/>
      <c r="E1" s="120"/>
      <c r="F1" s="120"/>
    </row>
    <row r="2" spans="1:6" ht="18" customHeight="1" x14ac:dyDescent="0.35">
      <c r="A2" s="125" t="s">
        <v>45</v>
      </c>
      <c r="B2" s="120"/>
      <c r="C2" s="120"/>
      <c r="D2" s="120"/>
      <c r="E2" s="120"/>
      <c r="F2" s="120"/>
    </row>
    <row r="4" spans="1:6" ht="58" customHeight="1" x14ac:dyDescent="0.35">
      <c r="A4" s="3" t="s">
        <v>46</v>
      </c>
      <c r="B4" s="126" t="s">
        <v>47</v>
      </c>
      <c r="C4" s="127"/>
      <c r="D4" s="127"/>
      <c r="E4" s="127"/>
      <c r="F4" s="128"/>
    </row>
    <row r="5" spans="1:6" ht="58" customHeight="1" x14ac:dyDescent="0.35">
      <c r="A5" s="3" t="s">
        <v>48</v>
      </c>
      <c r="B5" s="126" t="s">
        <v>49</v>
      </c>
      <c r="C5" s="127"/>
      <c r="D5" s="127"/>
      <c r="E5" s="127"/>
      <c r="F5" s="128"/>
    </row>
    <row r="6" spans="1:6" ht="58" customHeight="1" x14ac:dyDescent="0.35">
      <c r="A6" s="3" t="s">
        <v>50</v>
      </c>
      <c r="B6" s="126" t="s">
        <v>51</v>
      </c>
      <c r="C6" s="127"/>
      <c r="D6" s="127"/>
      <c r="E6" s="127"/>
      <c r="F6" s="128"/>
    </row>
    <row r="7" spans="1:6" ht="58" customHeight="1" x14ac:dyDescent="0.35">
      <c r="A7" s="3" t="s">
        <v>52</v>
      </c>
      <c r="B7" s="126" t="s">
        <v>53</v>
      </c>
      <c r="C7" s="127"/>
      <c r="D7" s="127"/>
      <c r="E7" s="127"/>
      <c r="F7" s="128"/>
    </row>
    <row r="8" spans="1:6" ht="58" customHeight="1" x14ac:dyDescent="0.35">
      <c r="A8" s="3" t="s">
        <v>54</v>
      </c>
      <c r="B8" s="126" t="s">
        <v>2</v>
      </c>
      <c r="C8" s="127"/>
      <c r="D8" s="127"/>
      <c r="E8" s="127"/>
      <c r="F8" s="128"/>
    </row>
    <row r="9" spans="1:6" ht="58" customHeight="1" x14ac:dyDescent="0.35">
      <c r="A9" s="3" t="s">
        <v>55</v>
      </c>
      <c r="B9" s="126" t="s">
        <v>56</v>
      </c>
      <c r="C9" s="127"/>
      <c r="D9" s="127"/>
      <c r="E9" s="127"/>
      <c r="F9" s="128"/>
    </row>
    <row r="11" spans="1:6" ht="22" customHeight="1" x14ac:dyDescent="0.35">
      <c r="A11" s="122" t="s">
        <v>57</v>
      </c>
      <c r="B11" s="120"/>
      <c r="C11" s="120"/>
      <c r="D11" s="120"/>
      <c r="E11" s="120"/>
      <c r="F11" s="120"/>
    </row>
    <row r="12" spans="1:6" ht="30" customHeight="1" x14ac:dyDescent="0.35">
      <c r="A12" s="4" t="s">
        <v>58</v>
      </c>
      <c r="B12" s="4" t="s">
        <v>59</v>
      </c>
      <c r="C12" s="4" t="s">
        <v>60</v>
      </c>
    </row>
    <row r="13" spans="1:6" x14ac:dyDescent="0.35">
      <c r="A13" s="5" t="s">
        <v>61</v>
      </c>
      <c r="B13" s="5" t="s">
        <v>62</v>
      </c>
      <c r="C13" s="5" t="s">
        <v>63</v>
      </c>
    </row>
    <row r="14" spans="1:6" x14ac:dyDescent="0.35">
      <c r="A14" s="6" t="s">
        <v>64</v>
      </c>
      <c r="B14" s="6" t="s">
        <v>65</v>
      </c>
      <c r="C14" s="6" t="s">
        <v>63</v>
      </c>
    </row>
    <row r="15" spans="1:6" x14ac:dyDescent="0.35">
      <c r="A15" s="5" t="s">
        <v>66</v>
      </c>
      <c r="B15" s="5" t="s">
        <v>67</v>
      </c>
      <c r="C15" s="5" t="s">
        <v>68</v>
      </c>
    </row>
    <row r="16" spans="1:6" x14ac:dyDescent="0.35">
      <c r="A16" s="6" t="s">
        <v>69</v>
      </c>
      <c r="B16" s="6" t="s">
        <v>70</v>
      </c>
      <c r="C16" s="6" t="s">
        <v>63</v>
      </c>
    </row>
    <row r="17" spans="1:3" x14ac:dyDescent="0.35">
      <c r="A17" s="5" t="s">
        <v>71</v>
      </c>
      <c r="B17" s="5" t="s">
        <v>72</v>
      </c>
      <c r="C17" s="5" t="s">
        <v>73</v>
      </c>
    </row>
    <row r="18" spans="1:3" x14ac:dyDescent="0.35">
      <c r="A18" s="6" t="s">
        <v>74</v>
      </c>
      <c r="B18" s="6" t="s">
        <v>75</v>
      </c>
      <c r="C18" s="6" t="s">
        <v>76</v>
      </c>
    </row>
    <row r="19" spans="1:3" ht="26" x14ac:dyDescent="0.35">
      <c r="A19" s="5" t="s">
        <v>77</v>
      </c>
      <c r="B19" s="5" t="s">
        <v>78</v>
      </c>
      <c r="C19" s="5" t="s">
        <v>79</v>
      </c>
    </row>
    <row r="20" spans="1:3" ht="26" x14ac:dyDescent="0.35">
      <c r="A20" s="6" t="s">
        <v>80</v>
      </c>
      <c r="B20" s="6" t="s">
        <v>81</v>
      </c>
      <c r="C20" s="6" t="s">
        <v>82</v>
      </c>
    </row>
    <row r="21" spans="1:3" ht="26" x14ac:dyDescent="0.35">
      <c r="A21" s="5" t="s">
        <v>83</v>
      </c>
      <c r="B21" s="5" t="s">
        <v>84</v>
      </c>
      <c r="C21" s="5" t="s">
        <v>76</v>
      </c>
    </row>
    <row r="22" spans="1:3" x14ac:dyDescent="0.35">
      <c r="A22" s="6" t="s">
        <v>85</v>
      </c>
      <c r="B22" s="6" t="s">
        <v>86</v>
      </c>
      <c r="C22" s="6" t="s">
        <v>63</v>
      </c>
    </row>
    <row r="23" spans="1:3" ht="26" x14ac:dyDescent="0.35">
      <c r="A23" s="5" t="s">
        <v>87</v>
      </c>
      <c r="B23" s="5" t="s">
        <v>88</v>
      </c>
      <c r="C23" s="5" t="s">
        <v>89</v>
      </c>
    </row>
    <row r="24" spans="1:3" ht="26" x14ac:dyDescent="0.35">
      <c r="A24" s="6" t="s">
        <v>90</v>
      </c>
      <c r="B24" s="6" t="s">
        <v>91</v>
      </c>
      <c r="C24" s="6" t="s">
        <v>63</v>
      </c>
    </row>
    <row r="25" spans="1:3" x14ac:dyDescent="0.35">
      <c r="A25" s="5" t="s">
        <v>92</v>
      </c>
      <c r="B25" s="5" t="s">
        <v>93</v>
      </c>
      <c r="C25" s="5" t="s">
        <v>94</v>
      </c>
    </row>
    <row r="26" spans="1:3" x14ac:dyDescent="0.35">
      <c r="A26" s="6" t="s">
        <v>95</v>
      </c>
      <c r="B26" s="6" t="s">
        <v>96</v>
      </c>
      <c r="C26" s="6" t="s">
        <v>94</v>
      </c>
    </row>
    <row r="27" spans="1:3" x14ac:dyDescent="0.35">
      <c r="A27" s="5" t="s">
        <v>97</v>
      </c>
      <c r="B27" s="5" t="s">
        <v>98</v>
      </c>
      <c r="C27" s="5" t="s">
        <v>94</v>
      </c>
    </row>
    <row r="28" spans="1:3" ht="26" x14ac:dyDescent="0.35">
      <c r="A28" s="6" t="s">
        <v>99</v>
      </c>
      <c r="B28" s="6" t="s">
        <v>100</v>
      </c>
      <c r="C28" s="6" t="s">
        <v>101</v>
      </c>
    </row>
    <row r="29" spans="1:3" ht="26" x14ac:dyDescent="0.35">
      <c r="A29" s="5" t="s">
        <v>102</v>
      </c>
      <c r="B29" s="5" t="s">
        <v>103</v>
      </c>
      <c r="C29" s="5" t="s">
        <v>104</v>
      </c>
    </row>
    <row r="30" spans="1:3" ht="26" x14ac:dyDescent="0.35">
      <c r="A30" s="6" t="s">
        <v>105</v>
      </c>
      <c r="B30" s="6" t="s">
        <v>106</v>
      </c>
      <c r="C30" s="6" t="s">
        <v>94</v>
      </c>
    </row>
    <row r="31" spans="1:3" ht="26" x14ac:dyDescent="0.35">
      <c r="A31" s="5" t="s">
        <v>107</v>
      </c>
      <c r="B31" s="5" t="s">
        <v>108</v>
      </c>
      <c r="C31" s="5" t="s">
        <v>94</v>
      </c>
    </row>
    <row r="32" spans="1:3" x14ac:dyDescent="0.35">
      <c r="A32" s="6" t="s">
        <v>109</v>
      </c>
      <c r="B32" s="6" t="s">
        <v>110</v>
      </c>
      <c r="C32" s="6" t="s">
        <v>94</v>
      </c>
    </row>
    <row r="33" spans="1:6" ht="26" x14ac:dyDescent="0.35">
      <c r="A33" s="5" t="s">
        <v>111</v>
      </c>
      <c r="B33" s="5" t="s">
        <v>112</v>
      </c>
      <c r="C33" s="5" t="s">
        <v>101</v>
      </c>
    </row>
    <row r="34" spans="1:6" ht="26" x14ac:dyDescent="0.35">
      <c r="A34" s="6" t="s">
        <v>99</v>
      </c>
      <c r="B34" s="6" t="s">
        <v>113</v>
      </c>
      <c r="C34" s="6" t="s">
        <v>101</v>
      </c>
    </row>
    <row r="35" spans="1:6" ht="26" x14ac:dyDescent="0.35">
      <c r="A35" s="5" t="s">
        <v>102</v>
      </c>
      <c r="B35" s="5" t="s">
        <v>114</v>
      </c>
      <c r="C35" s="5" t="s">
        <v>104</v>
      </c>
    </row>
    <row r="36" spans="1:6" ht="26" x14ac:dyDescent="0.35">
      <c r="A36" s="6" t="s">
        <v>107</v>
      </c>
      <c r="B36" s="6" t="s">
        <v>115</v>
      </c>
      <c r="C36" s="6" t="s">
        <v>94</v>
      </c>
    </row>
    <row r="37" spans="1:6" ht="26" x14ac:dyDescent="0.35">
      <c r="A37" s="5" t="s">
        <v>105</v>
      </c>
      <c r="B37" s="5" t="s">
        <v>116</v>
      </c>
      <c r="C37" s="5" t="s">
        <v>94</v>
      </c>
    </row>
    <row r="38" spans="1:6" ht="26" x14ac:dyDescent="0.35">
      <c r="A38" s="6" t="s">
        <v>109</v>
      </c>
      <c r="B38" s="6" t="s">
        <v>117</v>
      </c>
      <c r="C38" s="6" t="s">
        <v>94</v>
      </c>
    </row>
    <row r="39" spans="1:6" ht="26" x14ac:dyDescent="0.35">
      <c r="A39" s="5" t="s">
        <v>111</v>
      </c>
      <c r="B39" s="5" t="s">
        <v>118</v>
      </c>
      <c r="C39" s="5" t="s">
        <v>101</v>
      </c>
    </row>
    <row r="40" spans="1:6" ht="26" x14ac:dyDescent="0.35">
      <c r="A40" s="6" t="s">
        <v>119</v>
      </c>
      <c r="B40" s="6" t="s">
        <v>120</v>
      </c>
      <c r="C40" s="6" t="s">
        <v>121</v>
      </c>
    </row>
    <row r="41" spans="1:6" x14ac:dyDescent="0.35">
      <c r="A41" s="5" t="s">
        <v>122</v>
      </c>
      <c r="B41" s="5" t="s">
        <v>123</v>
      </c>
      <c r="C41" s="5" t="s">
        <v>124</v>
      </c>
    </row>
    <row r="42" spans="1:6" x14ac:dyDescent="0.35">
      <c r="A42" s="6" t="s">
        <v>125</v>
      </c>
      <c r="B42" s="6" t="s">
        <v>126</v>
      </c>
      <c r="C42" s="6" t="s">
        <v>127</v>
      </c>
    </row>
    <row r="44" spans="1:6" ht="22" customHeight="1" x14ac:dyDescent="0.35">
      <c r="A44" s="122" t="s">
        <v>128</v>
      </c>
      <c r="B44" s="120"/>
      <c r="C44" s="120"/>
      <c r="D44" s="120"/>
      <c r="E44" s="120"/>
      <c r="F44" s="120"/>
    </row>
    <row r="45" spans="1:6" ht="30" customHeight="1" x14ac:dyDescent="0.35">
      <c r="A45" s="4" t="s">
        <v>129</v>
      </c>
      <c r="B45" s="4" t="s">
        <v>130</v>
      </c>
      <c r="C45" s="4" t="s">
        <v>131</v>
      </c>
      <c r="D45" s="4" t="s">
        <v>132</v>
      </c>
    </row>
    <row r="46" spans="1:6" ht="52" x14ac:dyDescent="0.35">
      <c r="A46" s="7" t="s">
        <v>133</v>
      </c>
      <c r="B46" s="6" t="s">
        <v>134</v>
      </c>
      <c r="C46" s="6" t="s">
        <v>135</v>
      </c>
      <c r="D46" s="6" t="s">
        <v>136</v>
      </c>
      <c r="E46" s="6"/>
      <c r="F46" s="6"/>
    </row>
    <row r="47" spans="1:6" ht="52" x14ac:dyDescent="0.35">
      <c r="A47" s="8" t="s">
        <v>137</v>
      </c>
      <c r="B47" s="5" t="s">
        <v>138</v>
      </c>
      <c r="C47" s="5" t="s">
        <v>139</v>
      </c>
      <c r="D47" s="5" t="s">
        <v>140</v>
      </c>
      <c r="E47" s="5"/>
      <c r="F47" s="5"/>
    </row>
    <row r="48" spans="1:6" ht="65" x14ac:dyDescent="0.35">
      <c r="A48" s="7" t="s">
        <v>141</v>
      </c>
      <c r="B48" s="6" t="s">
        <v>142</v>
      </c>
      <c r="C48" s="6" t="s">
        <v>143</v>
      </c>
      <c r="D48" s="6" t="s">
        <v>144</v>
      </c>
      <c r="E48" s="6"/>
      <c r="F48" s="6"/>
    </row>
    <row r="49" spans="1:6" ht="65" x14ac:dyDescent="0.35">
      <c r="A49" s="8" t="s">
        <v>145</v>
      </c>
      <c r="B49" s="5" t="s">
        <v>146</v>
      </c>
      <c r="C49" s="5" t="s">
        <v>147</v>
      </c>
      <c r="D49" s="5" t="s">
        <v>148</v>
      </c>
      <c r="E49" s="5"/>
      <c r="F49" s="5"/>
    </row>
    <row r="50" spans="1:6" ht="39" x14ac:dyDescent="0.35">
      <c r="A50" s="7" t="s">
        <v>149</v>
      </c>
      <c r="B50" s="6" t="s">
        <v>150</v>
      </c>
      <c r="C50" s="6" t="s">
        <v>151</v>
      </c>
      <c r="D50" s="6" t="s">
        <v>152</v>
      </c>
      <c r="E50" s="6"/>
      <c r="F50" s="6"/>
    </row>
    <row r="51" spans="1:6" ht="52" x14ac:dyDescent="0.35">
      <c r="A51" s="8" t="s">
        <v>153</v>
      </c>
      <c r="B51" s="5" t="s">
        <v>154</v>
      </c>
      <c r="C51" s="5" t="s">
        <v>155</v>
      </c>
      <c r="D51" s="5" t="s">
        <v>156</v>
      </c>
      <c r="E51" s="5"/>
      <c r="F51" s="5"/>
    </row>
    <row r="53" spans="1:6" ht="22" customHeight="1" x14ac:dyDescent="0.35">
      <c r="A53" s="122" t="s">
        <v>157</v>
      </c>
      <c r="B53" s="120"/>
      <c r="C53" s="120"/>
      <c r="D53" s="120"/>
      <c r="E53" s="120"/>
      <c r="F53" s="120"/>
    </row>
    <row r="54" spans="1:6" ht="30" customHeight="1" x14ac:dyDescent="0.35">
      <c r="A54" s="4" t="s">
        <v>158</v>
      </c>
      <c r="B54" s="4" t="s">
        <v>159</v>
      </c>
      <c r="C54" s="4" t="s">
        <v>160</v>
      </c>
    </row>
    <row r="55" spans="1:6" x14ac:dyDescent="0.35">
      <c r="A55" s="8" t="s">
        <v>161</v>
      </c>
      <c r="B55" s="5" t="s">
        <v>162</v>
      </c>
      <c r="C55" s="5" t="s">
        <v>163</v>
      </c>
      <c r="D55" s="5"/>
      <c r="E55" s="5"/>
      <c r="F55" s="5"/>
    </row>
    <row r="56" spans="1:6" x14ac:dyDescent="0.35">
      <c r="A56" s="7" t="s">
        <v>164</v>
      </c>
      <c r="B56" s="6" t="s">
        <v>165</v>
      </c>
      <c r="C56" s="6" t="s">
        <v>166</v>
      </c>
      <c r="D56" s="6"/>
      <c r="E56" s="6"/>
      <c r="F56" s="6"/>
    </row>
    <row r="57" spans="1:6" x14ac:dyDescent="0.35">
      <c r="A57" s="8" t="s">
        <v>167</v>
      </c>
      <c r="B57" s="5" t="s">
        <v>168</v>
      </c>
      <c r="C57" s="5" t="s">
        <v>169</v>
      </c>
      <c r="D57" s="5"/>
      <c r="E57" s="5"/>
      <c r="F57" s="5"/>
    </row>
    <row r="58" spans="1:6" x14ac:dyDescent="0.35">
      <c r="A58" s="7" t="s">
        <v>170</v>
      </c>
      <c r="B58" s="6" t="s">
        <v>171</v>
      </c>
      <c r="C58" s="6" t="s">
        <v>172</v>
      </c>
      <c r="D58" s="6"/>
      <c r="E58" s="6"/>
      <c r="F58" s="6"/>
    </row>
    <row r="59" spans="1:6" x14ac:dyDescent="0.35">
      <c r="A59" s="8" t="s">
        <v>173</v>
      </c>
      <c r="B59" s="5" t="s">
        <v>174</v>
      </c>
      <c r="C59" s="5" t="s">
        <v>175</v>
      </c>
      <c r="D59" s="5"/>
      <c r="E59" s="5"/>
      <c r="F59" s="5"/>
    </row>
    <row r="61" spans="1:6" ht="22" customHeight="1" x14ac:dyDescent="0.35">
      <c r="A61" s="122" t="s">
        <v>176</v>
      </c>
      <c r="B61" s="120"/>
      <c r="C61" s="120"/>
      <c r="D61" s="120"/>
      <c r="E61" s="120"/>
      <c r="F61" s="120"/>
    </row>
    <row r="62" spans="1:6" ht="30" customHeight="1" x14ac:dyDescent="0.35">
      <c r="A62" s="4" t="s">
        <v>158</v>
      </c>
      <c r="B62" s="4" t="s">
        <v>26</v>
      </c>
      <c r="C62" s="4" t="s">
        <v>160</v>
      </c>
    </row>
    <row r="63" spans="1:6" x14ac:dyDescent="0.35">
      <c r="A63" s="8" t="s">
        <v>177</v>
      </c>
      <c r="B63" s="5" t="s">
        <v>178</v>
      </c>
      <c r="C63" s="5" t="s">
        <v>179</v>
      </c>
      <c r="D63" s="5"/>
      <c r="E63" s="5"/>
      <c r="F63" s="5"/>
    </row>
    <row r="64" spans="1:6" x14ac:dyDescent="0.35">
      <c r="A64" s="7" t="s">
        <v>164</v>
      </c>
      <c r="B64" s="6" t="s">
        <v>180</v>
      </c>
      <c r="C64" s="6" t="s">
        <v>181</v>
      </c>
      <c r="D64" s="6"/>
      <c r="E64" s="6"/>
      <c r="F64" s="6"/>
    </row>
    <row r="65" spans="1:6" x14ac:dyDescent="0.35">
      <c r="A65" s="8" t="s">
        <v>161</v>
      </c>
      <c r="B65" s="5" t="s">
        <v>182</v>
      </c>
      <c r="C65" s="5" t="s">
        <v>183</v>
      </c>
      <c r="D65" s="5"/>
      <c r="E65" s="5"/>
      <c r="F65" s="5"/>
    </row>
    <row r="67" spans="1:6" ht="22" customHeight="1" x14ac:dyDescent="0.35">
      <c r="A67" s="122" t="s">
        <v>184</v>
      </c>
      <c r="B67" s="120"/>
      <c r="C67" s="120"/>
      <c r="D67" s="120"/>
      <c r="E67" s="120"/>
      <c r="F67" s="120"/>
    </row>
    <row r="68" spans="1:6" ht="30" customHeight="1" x14ac:dyDescent="0.35">
      <c r="A68" s="4" t="s">
        <v>158</v>
      </c>
      <c r="B68" s="4" t="s">
        <v>185</v>
      </c>
      <c r="C68" s="4" t="s">
        <v>160</v>
      </c>
    </row>
    <row r="69" spans="1:6" ht="26" x14ac:dyDescent="0.35">
      <c r="A69" s="8" t="s">
        <v>161</v>
      </c>
      <c r="B69" s="5" t="s">
        <v>186</v>
      </c>
      <c r="C69" s="5" t="s">
        <v>187</v>
      </c>
      <c r="D69" s="5"/>
      <c r="E69" s="5"/>
      <c r="F69" s="5"/>
    </row>
    <row r="70" spans="1:6" ht="26" x14ac:dyDescent="0.35">
      <c r="A70" s="7" t="s">
        <v>164</v>
      </c>
      <c r="B70" s="6" t="s">
        <v>188</v>
      </c>
      <c r="C70" s="6" t="s">
        <v>189</v>
      </c>
      <c r="D70" s="6"/>
      <c r="E70" s="6"/>
      <c r="F70" s="6"/>
    </row>
    <row r="71" spans="1:6" x14ac:dyDescent="0.35">
      <c r="A71" s="8" t="s">
        <v>170</v>
      </c>
      <c r="B71" s="5" t="s">
        <v>190</v>
      </c>
      <c r="C71" s="5" t="s">
        <v>191</v>
      </c>
      <c r="D71" s="5"/>
      <c r="E71" s="5"/>
      <c r="F71" s="5"/>
    </row>
    <row r="72" spans="1:6" x14ac:dyDescent="0.35">
      <c r="A72" s="7" t="s">
        <v>192</v>
      </c>
      <c r="B72" s="6" t="s">
        <v>193</v>
      </c>
      <c r="C72" s="6" t="s">
        <v>194</v>
      </c>
      <c r="D72" s="6"/>
      <c r="E72" s="6"/>
      <c r="F72" s="6"/>
    </row>
  </sheetData>
  <mergeCells count="13">
    <mergeCell ref="A44:F44"/>
    <mergeCell ref="A1:F1"/>
    <mergeCell ref="B5:F5"/>
    <mergeCell ref="A67:F67"/>
    <mergeCell ref="A61:F61"/>
    <mergeCell ref="B8:F8"/>
    <mergeCell ref="A53:F53"/>
    <mergeCell ref="B9:F9"/>
    <mergeCell ref="B4:F4"/>
    <mergeCell ref="A2:F2"/>
    <mergeCell ref="A11:F11"/>
    <mergeCell ref="B7:F7"/>
    <mergeCell ref="B6:F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3"/>
  <sheetViews>
    <sheetView showGridLines="0" topLeftCell="A7" workbookViewId="0">
      <selection sqref="A1:J1"/>
    </sheetView>
  </sheetViews>
  <sheetFormatPr defaultRowHeight="14.5" x14ac:dyDescent="0.35"/>
  <cols>
    <col min="1" max="1" width="7" customWidth="1"/>
    <col min="2" max="2" width="20" customWidth="1"/>
    <col min="3" max="3" width="22" customWidth="1"/>
    <col min="4" max="4" width="34" customWidth="1"/>
    <col min="5" max="5" width="44" customWidth="1"/>
    <col min="6" max="6" width="26" customWidth="1"/>
    <col min="7" max="7" width="40" customWidth="1"/>
    <col min="8" max="8" width="11" customWidth="1"/>
    <col min="9" max="9" width="18" customWidth="1"/>
    <col min="10" max="10" width="30" customWidth="1"/>
  </cols>
  <sheetData>
    <row r="1" spans="1:10" ht="30" customHeight="1" x14ac:dyDescent="0.35">
      <c r="A1" s="119" t="s">
        <v>195</v>
      </c>
      <c r="B1" s="120"/>
      <c r="C1" s="120"/>
      <c r="D1" s="120"/>
      <c r="E1" s="120"/>
      <c r="F1" s="120"/>
      <c r="G1" s="120"/>
      <c r="H1" s="120"/>
      <c r="I1" s="120"/>
      <c r="J1" s="120"/>
    </row>
    <row r="2" spans="1:10" ht="18" customHeight="1" x14ac:dyDescent="0.35">
      <c r="A2" s="125" t="s">
        <v>196</v>
      </c>
      <c r="B2" s="120"/>
      <c r="C2" s="120"/>
      <c r="D2" s="120"/>
      <c r="E2" s="120"/>
      <c r="F2" s="120"/>
      <c r="G2" s="120"/>
      <c r="H2" s="120"/>
      <c r="I2" s="120"/>
      <c r="J2" s="120"/>
    </row>
    <row r="4" spans="1:10" ht="30" customHeight="1" x14ac:dyDescent="0.35">
      <c r="A4" s="4" t="s">
        <v>197</v>
      </c>
      <c r="B4" s="4" t="s">
        <v>130</v>
      </c>
      <c r="C4" s="4" t="s">
        <v>131</v>
      </c>
      <c r="D4" s="4" t="s">
        <v>198</v>
      </c>
      <c r="E4" s="4" t="s">
        <v>199</v>
      </c>
      <c r="F4" s="4" t="s">
        <v>200</v>
      </c>
      <c r="G4" s="4" t="s">
        <v>201</v>
      </c>
      <c r="H4" s="4" t="s">
        <v>202</v>
      </c>
      <c r="I4" s="4" t="s">
        <v>165</v>
      </c>
      <c r="J4" s="4" t="s">
        <v>203</v>
      </c>
    </row>
    <row r="5" spans="1:10" ht="62" customHeight="1" x14ac:dyDescent="0.35">
      <c r="A5" s="8" t="s">
        <v>204</v>
      </c>
      <c r="B5" s="5" t="s">
        <v>205</v>
      </c>
      <c r="C5" s="5" t="s">
        <v>206</v>
      </c>
      <c r="D5" s="5" t="s">
        <v>207</v>
      </c>
      <c r="E5" s="5" t="s">
        <v>208</v>
      </c>
      <c r="F5" s="5" t="s">
        <v>209</v>
      </c>
      <c r="G5" s="5" t="s">
        <v>210</v>
      </c>
      <c r="H5" s="8" t="s">
        <v>137</v>
      </c>
      <c r="I5" s="5" t="s">
        <v>211</v>
      </c>
      <c r="J5" s="5" t="s">
        <v>212</v>
      </c>
    </row>
    <row r="6" spans="1:10" ht="62" customHeight="1" x14ac:dyDescent="0.35">
      <c r="A6" s="7" t="s">
        <v>133</v>
      </c>
      <c r="B6" s="6" t="s">
        <v>213</v>
      </c>
      <c r="C6" s="6" t="s">
        <v>135</v>
      </c>
      <c r="D6" s="6" t="s">
        <v>214</v>
      </c>
      <c r="E6" s="6" t="s">
        <v>215</v>
      </c>
      <c r="F6" s="6" t="s">
        <v>216</v>
      </c>
      <c r="G6" s="6" t="s">
        <v>217</v>
      </c>
      <c r="H6" s="7" t="s">
        <v>218</v>
      </c>
      <c r="I6" s="6" t="s">
        <v>76</v>
      </c>
      <c r="J6" s="6" t="s">
        <v>219</v>
      </c>
    </row>
    <row r="7" spans="1:10" ht="62" customHeight="1" x14ac:dyDescent="0.35">
      <c r="A7" s="8" t="s">
        <v>137</v>
      </c>
      <c r="B7" s="5" t="s">
        <v>220</v>
      </c>
      <c r="C7" s="5" t="s">
        <v>139</v>
      </c>
      <c r="D7" s="5" t="s">
        <v>221</v>
      </c>
      <c r="E7" s="5" t="s">
        <v>222</v>
      </c>
      <c r="F7" s="5" t="s">
        <v>223</v>
      </c>
      <c r="G7" s="5" t="s">
        <v>224</v>
      </c>
      <c r="H7" s="8" t="s">
        <v>145</v>
      </c>
      <c r="I7" s="5" t="s">
        <v>225</v>
      </c>
      <c r="J7" s="5" t="s">
        <v>226</v>
      </c>
    </row>
    <row r="8" spans="1:10" ht="62" customHeight="1" x14ac:dyDescent="0.35">
      <c r="A8" s="7" t="s">
        <v>141</v>
      </c>
      <c r="B8" s="6" t="s">
        <v>227</v>
      </c>
      <c r="C8" s="6" t="s">
        <v>143</v>
      </c>
      <c r="D8" s="6" t="s">
        <v>228</v>
      </c>
      <c r="E8" s="6" t="s">
        <v>229</v>
      </c>
      <c r="F8" s="6" t="s">
        <v>230</v>
      </c>
      <c r="G8" s="6" t="s">
        <v>231</v>
      </c>
      <c r="H8" s="7" t="s">
        <v>232</v>
      </c>
      <c r="I8" s="6" t="s">
        <v>233</v>
      </c>
      <c r="J8" s="6" t="s">
        <v>234</v>
      </c>
    </row>
    <row r="9" spans="1:10" ht="62" customHeight="1" x14ac:dyDescent="0.35">
      <c r="A9" s="8" t="s">
        <v>145</v>
      </c>
      <c r="B9" s="5" t="s">
        <v>235</v>
      </c>
      <c r="C9" s="5" t="s">
        <v>147</v>
      </c>
      <c r="D9" s="5" t="s">
        <v>236</v>
      </c>
      <c r="E9" s="5" t="s">
        <v>237</v>
      </c>
      <c r="F9" s="5" t="s">
        <v>238</v>
      </c>
      <c r="G9" s="5" t="s">
        <v>239</v>
      </c>
      <c r="H9" s="8" t="s">
        <v>240</v>
      </c>
      <c r="I9" s="5" t="s">
        <v>241</v>
      </c>
      <c r="J9" s="5" t="s">
        <v>242</v>
      </c>
    </row>
    <row r="10" spans="1:10" ht="62" customHeight="1" x14ac:dyDescent="0.35">
      <c r="A10" s="7" t="s">
        <v>149</v>
      </c>
      <c r="B10" s="6" t="s">
        <v>243</v>
      </c>
      <c r="C10" s="6" t="s">
        <v>151</v>
      </c>
      <c r="D10" s="6" t="s">
        <v>244</v>
      </c>
      <c r="E10" s="6" t="s">
        <v>245</v>
      </c>
      <c r="F10" s="6" t="s">
        <v>246</v>
      </c>
      <c r="G10" s="6" t="s">
        <v>247</v>
      </c>
      <c r="H10" s="7" t="s">
        <v>137</v>
      </c>
      <c r="I10" s="6" t="s">
        <v>248</v>
      </c>
      <c r="J10" s="6" t="s">
        <v>249</v>
      </c>
    </row>
    <row r="11" spans="1:10" ht="62" customHeight="1" x14ac:dyDescent="0.35">
      <c r="A11" s="8" t="s">
        <v>153</v>
      </c>
      <c r="B11" s="5" t="s">
        <v>250</v>
      </c>
      <c r="C11" s="5" t="s">
        <v>155</v>
      </c>
      <c r="D11" s="5" t="s">
        <v>251</v>
      </c>
      <c r="E11" s="5" t="s">
        <v>252</v>
      </c>
      <c r="F11" s="5" t="s">
        <v>253</v>
      </c>
      <c r="G11" s="5" t="s">
        <v>254</v>
      </c>
      <c r="H11" s="8" t="s">
        <v>255</v>
      </c>
      <c r="I11" s="5" t="s">
        <v>76</v>
      </c>
      <c r="J11" s="5" t="s">
        <v>256</v>
      </c>
    </row>
    <row r="13" spans="1:10" x14ac:dyDescent="0.35">
      <c r="A13" s="129" t="s">
        <v>257</v>
      </c>
      <c r="B13" s="120"/>
      <c r="C13" s="120"/>
      <c r="D13" s="120"/>
      <c r="E13" s="120"/>
      <c r="F13" s="120"/>
      <c r="G13" s="120"/>
      <c r="H13" s="120"/>
      <c r="I13" s="120"/>
      <c r="J13" s="120"/>
    </row>
  </sheetData>
  <mergeCells count="3">
    <mergeCell ref="A1:J1"/>
    <mergeCell ref="A13:J13"/>
    <mergeCell ref="A2:J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5"/>
  <sheetViews>
    <sheetView showGridLines="0" workbookViewId="0">
      <pane xSplit="4" ySplit="5" topLeftCell="E6" activePane="bottomRight" state="frozen"/>
      <selection pane="topRight"/>
      <selection pane="bottomLeft"/>
      <selection pane="bottomRight" activeCell="D12" sqref="D12"/>
    </sheetView>
  </sheetViews>
  <sheetFormatPr defaultRowHeight="14.5" x14ac:dyDescent="0.35"/>
  <cols>
    <col min="1" max="1" width="9" customWidth="1"/>
    <col min="2" max="2" width="7" customWidth="1"/>
    <col min="3" max="3" width="13" customWidth="1"/>
    <col min="4" max="4" width="56" customWidth="1"/>
    <col min="5" max="5" width="22" customWidth="1"/>
    <col min="6" max="6" width="20" customWidth="1"/>
    <col min="7" max="8" width="8" customWidth="1"/>
    <col min="9" max="9" width="15" customWidth="1"/>
    <col min="10" max="10" width="11" customWidth="1"/>
    <col min="11" max="30" width="4.6328125" customWidth="1"/>
  </cols>
  <sheetData>
    <row r="1" spans="1:30" ht="30" customHeight="1" x14ac:dyDescent="0.35">
      <c r="A1" s="119" t="s">
        <v>258</v>
      </c>
      <c r="B1" s="120"/>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row>
    <row r="2" spans="1:30" ht="18" customHeight="1" x14ac:dyDescent="0.35">
      <c r="A2" s="125" t="s">
        <v>259</v>
      </c>
      <c r="B2" s="120"/>
      <c r="C2" s="120"/>
      <c r="D2" s="120"/>
      <c r="E2" s="120"/>
      <c r="F2" s="120"/>
      <c r="G2" s="120"/>
      <c r="H2" s="120"/>
      <c r="I2" s="120"/>
      <c r="J2" s="120"/>
      <c r="K2" s="120"/>
      <c r="L2" s="120"/>
      <c r="M2" s="120"/>
      <c r="N2" s="120"/>
      <c r="O2" s="120"/>
      <c r="P2" s="120"/>
      <c r="Q2" s="120"/>
      <c r="R2" s="120"/>
      <c r="S2" s="120"/>
      <c r="T2" s="120"/>
      <c r="U2" s="120"/>
      <c r="V2" s="120"/>
      <c r="W2" s="120"/>
      <c r="X2" s="120"/>
      <c r="Y2" s="120"/>
      <c r="Z2" s="120"/>
      <c r="AA2" s="120"/>
      <c r="AB2" s="120"/>
      <c r="AC2" s="120"/>
      <c r="AD2" s="120"/>
    </row>
    <row r="4" spans="1:30" x14ac:dyDescent="0.35">
      <c r="A4" s="131" t="s">
        <v>260</v>
      </c>
      <c r="B4" s="120"/>
      <c r="C4" s="120"/>
      <c r="D4" s="120"/>
      <c r="E4" s="120"/>
      <c r="F4" s="120"/>
      <c r="G4" s="120"/>
      <c r="H4" s="120"/>
      <c r="I4" s="120"/>
      <c r="J4" s="120"/>
      <c r="K4" s="9" t="s">
        <v>261</v>
      </c>
      <c r="L4" s="9" t="s">
        <v>261</v>
      </c>
      <c r="M4" s="9" t="s">
        <v>261</v>
      </c>
      <c r="N4" s="9" t="s">
        <v>261</v>
      </c>
      <c r="O4" s="9" t="s">
        <v>261</v>
      </c>
      <c r="P4" s="9" t="s">
        <v>261</v>
      </c>
      <c r="Q4" s="9" t="s">
        <v>261</v>
      </c>
      <c r="R4" s="9" t="s">
        <v>261</v>
      </c>
      <c r="S4" s="9" t="s">
        <v>261</v>
      </c>
      <c r="T4" s="9" t="s">
        <v>261</v>
      </c>
      <c r="U4" s="10" t="s">
        <v>262</v>
      </c>
      <c r="V4" s="10" t="s">
        <v>262</v>
      </c>
      <c r="W4" s="10" t="s">
        <v>262</v>
      </c>
      <c r="X4" s="10" t="s">
        <v>262</v>
      </c>
      <c r="Y4" s="10" t="s">
        <v>262</v>
      </c>
      <c r="Z4" s="10" t="s">
        <v>262</v>
      </c>
      <c r="AA4" s="10" t="s">
        <v>262</v>
      </c>
      <c r="AB4" s="10" t="s">
        <v>262</v>
      </c>
      <c r="AC4" s="10" t="s">
        <v>262</v>
      </c>
      <c r="AD4" s="10" t="s">
        <v>262</v>
      </c>
    </row>
    <row r="5" spans="1:30" ht="30" customHeight="1" x14ac:dyDescent="0.35">
      <c r="A5" s="4" t="s">
        <v>263</v>
      </c>
      <c r="B5" s="4" t="s">
        <v>264</v>
      </c>
      <c r="C5" s="4" t="s">
        <v>265</v>
      </c>
      <c r="D5" s="4" t="s">
        <v>266</v>
      </c>
      <c r="E5" s="4" t="s">
        <v>267</v>
      </c>
      <c r="F5" s="4" t="s">
        <v>268</v>
      </c>
      <c r="G5" s="4" t="s">
        <v>269</v>
      </c>
      <c r="H5" s="4" t="s">
        <v>270</v>
      </c>
      <c r="I5" s="4" t="s">
        <v>26</v>
      </c>
      <c r="J5" s="4" t="s">
        <v>271</v>
      </c>
      <c r="K5" s="4" t="s">
        <v>272</v>
      </c>
      <c r="L5" s="4" t="s">
        <v>273</v>
      </c>
      <c r="M5" s="4" t="s">
        <v>274</v>
      </c>
      <c r="N5" s="4" t="s">
        <v>275</v>
      </c>
      <c r="O5" s="4" t="s">
        <v>276</v>
      </c>
      <c r="P5" s="4" t="s">
        <v>277</v>
      </c>
      <c r="Q5" s="4" t="s">
        <v>278</v>
      </c>
      <c r="R5" s="4" t="s">
        <v>279</v>
      </c>
      <c r="S5" s="4" t="s">
        <v>280</v>
      </c>
      <c r="T5" s="4" t="s">
        <v>281</v>
      </c>
      <c r="U5" s="4" t="s">
        <v>282</v>
      </c>
      <c r="V5" s="4" t="s">
        <v>283</v>
      </c>
      <c r="W5" s="4" t="s">
        <v>284</v>
      </c>
      <c r="X5" s="4" t="s">
        <v>285</v>
      </c>
      <c r="Y5" s="4" t="s">
        <v>286</v>
      </c>
      <c r="Z5" s="4" t="s">
        <v>287</v>
      </c>
      <c r="AA5" s="4" t="s">
        <v>288</v>
      </c>
      <c r="AB5" s="4" t="s">
        <v>289</v>
      </c>
      <c r="AC5" s="4" t="s">
        <v>290</v>
      </c>
      <c r="AD5" s="4" t="s">
        <v>291</v>
      </c>
    </row>
    <row r="6" spans="1:30" x14ac:dyDescent="0.35">
      <c r="A6" s="6" t="s">
        <v>292</v>
      </c>
      <c r="B6" s="11" t="s">
        <v>293</v>
      </c>
      <c r="C6" s="6" t="s">
        <v>294</v>
      </c>
      <c r="D6" s="6" t="s">
        <v>295</v>
      </c>
      <c r="E6" s="6" t="s">
        <v>296</v>
      </c>
      <c r="F6" s="6" t="s">
        <v>296</v>
      </c>
      <c r="G6" s="7" t="s">
        <v>297</v>
      </c>
      <c r="H6" s="7" t="s">
        <v>298</v>
      </c>
      <c r="I6" s="12" t="s">
        <v>299</v>
      </c>
      <c r="J6" s="7" t="s">
        <v>300</v>
      </c>
      <c r="K6" s="13" t="s">
        <v>301</v>
      </c>
    </row>
    <row r="7" spans="1:30" x14ac:dyDescent="0.35">
      <c r="A7" s="5" t="s">
        <v>297</v>
      </c>
      <c r="B7" s="14" t="s">
        <v>293</v>
      </c>
      <c r="C7" s="5" t="s">
        <v>294</v>
      </c>
      <c r="D7" s="5" t="s">
        <v>302</v>
      </c>
      <c r="E7" s="5" t="s">
        <v>296</v>
      </c>
      <c r="F7" s="5" t="s">
        <v>296</v>
      </c>
      <c r="G7" s="8" t="s">
        <v>303</v>
      </c>
      <c r="H7" s="8" t="s">
        <v>298</v>
      </c>
      <c r="I7" s="15" t="s">
        <v>299</v>
      </c>
      <c r="J7" s="8" t="s">
        <v>300</v>
      </c>
      <c r="K7" s="13" t="s">
        <v>301</v>
      </c>
    </row>
    <row r="8" spans="1:30" x14ac:dyDescent="0.35">
      <c r="A8" s="6" t="s">
        <v>304</v>
      </c>
      <c r="B8" s="11" t="s">
        <v>293</v>
      </c>
      <c r="C8" s="6" t="s">
        <v>294</v>
      </c>
      <c r="D8" s="6" t="s">
        <v>305</v>
      </c>
      <c r="E8" s="6" t="s">
        <v>296</v>
      </c>
      <c r="F8" s="6" t="s">
        <v>296</v>
      </c>
      <c r="G8" s="7" t="s">
        <v>297</v>
      </c>
      <c r="H8" s="7" t="s">
        <v>298</v>
      </c>
      <c r="I8" s="12" t="s">
        <v>299</v>
      </c>
      <c r="J8" s="7" t="s">
        <v>300</v>
      </c>
      <c r="K8" s="13" t="s">
        <v>301</v>
      </c>
      <c r="L8" s="13" t="s">
        <v>301</v>
      </c>
    </row>
    <row r="9" spans="1:30" x14ac:dyDescent="0.35">
      <c r="A9" s="5" t="s">
        <v>306</v>
      </c>
      <c r="B9" s="14" t="s">
        <v>293</v>
      </c>
      <c r="C9" s="5" t="s">
        <v>294</v>
      </c>
      <c r="D9" s="5" t="s">
        <v>307</v>
      </c>
      <c r="E9" s="5" t="s">
        <v>296</v>
      </c>
      <c r="F9" s="5" t="s">
        <v>296</v>
      </c>
      <c r="G9" s="8" t="s">
        <v>297</v>
      </c>
      <c r="H9" s="8" t="s">
        <v>298</v>
      </c>
      <c r="I9" s="15" t="s">
        <v>299</v>
      </c>
      <c r="J9" s="8" t="s">
        <v>300</v>
      </c>
      <c r="K9" s="13" t="s">
        <v>301</v>
      </c>
      <c r="L9" s="13" t="s">
        <v>301</v>
      </c>
      <c r="M9" s="13" t="s">
        <v>301</v>
      </c>
    </row>
    <row r="10" spans="1:30" x14ac:dyDescent="0.35">
      <c r="A10" s="6" t="s">
        <v>308</v>
      </c>
      <c r="B10" s="11" t="s">
        <v>293</v>
      </c>
      <c r="C10" s="6" t="s">
        <v>294</v>
      </c>
      <c r="D10" s="6" t="s">
        <v>309</v>
      </c>
      <c r="E10" s="6" t="s">
        <v>296</v>
      </c>
      <c r="F10" s="6" t="s">
        <v>296</v>
      </c>
      <c r="G10" s="7" t="s">
        <v>310</v>
      </c>
      <c r="H10" s="7" t="s">
        <v>298</v>
      </c>
      <c r="I10" s="12" t="s">
        <v>299</v>
      </c>
      <c r="J10" s="7" t="s">
        <v>300</v>
      </c>
      <c r="L10" s="13" t="s">
        <v>301</v>
      </c>
      <c r="M10" s="13" t="s">
        <v>301</v>
      </c>
      <c r="N10" s="13" t="s">
        <v>301</v>
      </c>
    </row>
    <row r="11" spans="1:30" x14ac:dyDescent="0.35">
      <c r="A11" s="5" t="s">
        <v>311</v>
      </c>
      <c r="B11" s="14" t="s">
        <v>293</v>
      </c>
      <c r="C11" s="5" t="s">
        <v>294</v>
      </c>
      <c r="D11" s="5" t="s">
        <v>312</v>
      </c>
      <c r="E11" s="5" t="s">
        <v>296</v>
      </c>
      <c r="F11" s="5" t="s">
        <v>296</v>
      </c>
      <c r="G11" s="8" t="s">
        <v>303</v>
      </c>
      <c r="H11" s="8" t="s">
        <v>298</v>
      </c>
      <c r="I11" s="15" t="s">
        <v>299</v>
      </c>
      <c r="J11" s="8" t="s">
        <v>300</v>
      </c>
      <c r="L11" s="13" t="s">
        <v>301</v>
      </c>
    </row>
    <row r="12" spans="1:30" x14ac:dyDescent="0.35">
      <c r="A12" s="6" t="s">
        <v>313</v>
      </c>
      <c r="B12" s="11" t="s">
        <v>293</v>
      </c>
      <c r="C12" s="6" t="s">
        <v>294</v>
      </c>
      <c r="D12" s="6" t="s">
        <v>314</v>
      </c>
      <c r="E12" s="6" t="s">
        <v>296</v>
      </c>
      <c r="F12" s="6" t="s">
        <v>296</v>
      </c>
      <c r="G12" s="7" t="s">
        <v>310</v>
      </c>
      <c r="H12" s="7" t="s">
        <v>298</v>
      </c>
      <c r="I12" s="12" t="s">
        <v>315</v>
      </c>
      <c r="J12" s="7" t="s">
        <v>300</v>
      </c>
      <c r="L12" s="13" t="s">
        <v>301</v>
      </c>
      <c r="M12" s="13" t="s">
        <v>301</v>
      </c>
    </row>
    <row r="13" spans="1:30" ht="26" x14ac:dyDescent="0.35">
      <c r="A13" s="5" t="s">
        <v>316</v>
      </c>
      <c r="B13" s="14" t="s">
        <v>293</v>
      </c>
      <c r="C13" s="5" t="s">
        <v>294</v>
      </c>
      <c r="D13" s="5" t="s">
        <v>317</v>
      </c>
      <c r="E13" s="5" t="s">
        <v>296</v>
      </c>
      <c r="F13" s="5" t="s">
        <v>296</v>
      </c>
      <c r="G13" s="8" t="s">
        <v>318</v>
      </c>
      <c r="H13" s="8" t="s">
        <v>298</v>
      </c>
      <c r="I13" s="15" t="s">
        <v>315</v>
      </c>
      <c r="J13" s="8" t="s">
        <v>300</v>
      </c>
      <c r="M13" s="13" t="s">
        <v>301</v>
      </c>
      <c r="N13" s="13" t="s">
        <v>301</v>
      </c>
      <c r="O13" s="13" t="s">
        <v>301</v>
      </c>
      <c r="P13" s="13" t="s">
        <v>301</v>
      </c>
    </row>
    <row r="14" spans="1:30" x14ac:dyDescent="0.35">
      <c r="A14" s="6" t="s">
        <v>319</v>
      </c>
      <c r="B14" s="11" t="s">
        <v>293</v>
      </c>
      <c r="C14" s="6" t="s">
        <v>294</v>
      </c>
      <c r="D14" s="6" t="s">
        <v>320</v>
      </c>
      <c r="E14" s="6" t="s">
        <v>296</v>
      </c>
      <c r="F14" s="6" t="s">
        <v>296</v>
      </c>
      <c r="G14" s="7" t="s">
        <v>303</v>
      </c>
      <c r="H14" s="7" t="s">
        <v>298</v>
      </c>
      <c r="I14" s="12" t="s">
        <v>299</v>
      </c>
      <c r="J14" s="7" t="s">
        <v>300</v>
      </c>
      <c r="N14" s="13" t="s">
        <v>301</v>
      </c>
      <c r="O14" s="13" t="s">
        <v>301</v>
      </c>
    </row>
    <row r="15" spans="1:30" x14ac:dyDescent="0.35">
      <c r="A15" s="5" t="s">
        <v>321</v>
      </c>
      <c r="B15" s="14" t="s">
        <v>293</v>
      </c>
      <c r="C15" s="5" t="s">
        <v>294</v>
      </c>
      <c r="D15" s="5" t="s">
        <v>322</v>
      </c>
      <c r="E15" s="5" t="s">
        <v>296</v>
      </c>
      <c r="F15" s="5" t="s">
        <v>296</v>
      </c>
      <c r="G15" s="8" t="s">
        <v>323</v>
      </c>
      <c r="H15" s="8" t="s">
        <v>298</v>
      </c>
      <c r="I15" s="15" t="s">
        <v>324</v>
      </c>
      <c r="J15" s="8" t="s">
        <v>300</v>
      </c>
      <c r="N15" s="13" t="s">
        <v>301</v>
      </c>
      <c r="O15" s="13" t="s">
        <v>301</v>
      </c>
      <c r="P15" s="13" t="s">
        <v>301</v>
      </c>
    </row>
    <row r="16" spans="1:30" x14ac:dyDescent="0.35">
      <c r="A16" s="6" t="s">
        <v>325</v>
      </c>
      <c r="B16" s="11" t="s">
        <v>293</v>
      </c>
      <c r="C16" s="6" t="s">
        <v>294</v>
      </c>
      <c r="D16" s="6" t="s">
        <v>326</v>
      </c>
      <c r="E16" s="6" t="s">
        <v>296</v>
      </c>
      <c r="F16" s="6" t="s">
        <v>296</v>
      </c>
      <c r="G16" s="7" t="s">
        <v>297</v>
      </c>
      <c r="H16" s="7" t="s">
        <v>298</v>
      </c>
      <c r="I16" s="12" t="s">
        <v>324</v>
      </c>
      <c r="J16" s="7" t="s">
        <v>300</v>
      </c>
      <c r="P16" s="13" t="s">
        <v>301</v>
      </c>
      <c r="Q16" s="13" t="s">
        <v>301</v>
      </c>
    </row>
    <row r="17" spans="1:23" x14ac:dyDescent="0.35">
      <c r="A17" s="5" t="s">
        <v>327</v>
      </c>
      <c r="B17" s="14" t="s">
        <v>293</v>
      </c>
      <c r="C17" s="5" t="s">
        <v>294</v>
      </c>
      <c r="D17" s="5" t="s">
        <v>328</v>
      </c>
      <c r="E17" s="5" t="s">
        <v>296</v>
      </c>
      <c r="F17" s="5" t="s">
        <v>296</v>
      </c>
      <c r="G17" s="8" t="s">
        <v>329</v>
      </c>
      <c r="H17" s="8" t="s">
        <v>298</v>
      </c>
      <c r="I17" s="15" t="s">
        <v>299</v>
      </c>
      <c r="J17" s="8" t="s">
        <v>300</v>
      </c>
      <c r="P17" s="13" t="s">
        <v>301</v>
      </c>
      <c r="Q17" s="13" t="s">
        <v>301</v>
      </c>
    </row>
    <row r="18" spans="1:23" x14ac:dyDescent="0.35">
      <c r="A18" s="6" t="s">
        <v>330</v>
      </c>
      <c r="B18" s="11" t="s">
        <v>293</v>
      </c>
      <c r="C18" s="6" t="s">
        <v>294</v>
      </c>
      <c r="D18" s="6" t="s">
        <v>331</v>
      </c>
      <c r="E18" s="6" t="s">
        <v>296</v>
      </c>
      <c r="F18" s="6" t="s">
        <v>296</v>
      </c>
      <c r="G18" s="7" t="s">
        <v>297</v>
      </c>
      <c r="H18" s="7" t="s">
        <v>298</v>
      </c>
      <c r="I18" s="12" t="s">
        <v>324</v>
      </c>
      <c r="J18" s="7" t="s">
        <v>300</v>
      </c>
      <c r="Q18" s="13" t="s">
        <v>301</v>
      </c>
      <c r="R18" s="13" t="s">
        <v>301</v>
      </c>
    </row>
    <row r="19" spans="1:23" x14ac:dyDescent="0.35">
      <c r="A19" s="5" t="s">
        <v>332</v>
      </c>
      <c r="B19" s="14" t="s">
        <v>293</v>
      </c>
      <c r="C19" s="5" t="s">
        <v>294</v>
      </c>
      <c r="D19" s="5" t="s">
        <v>333</v>
      </c>
      <c r="E19" s="5" t="s">
        <v>296</v>
      </c>
      <c r="F19" s="5" t="s">
        <v>296</v>
      </c>
      <c r="G19" s="8" t="s">
        <v>310</v>
      </c>
      <c r="H19" s="8" t="s">
        <v>334</v>
      </c>
      <c r="I19" s="15" t="s">
        <v>324</v>
      </c>
      <c r="J19" s="8" t="s">
        <v>300</v>
      </c>
      <c r="S19" s="13" t="s">
        <v>301</v>
      </c>
      <c r="T19" s="13" t="s">
        <v>301</v>
      </c>
    </row>
    <row r="20" spans="1:23" x14ac:dyDescent="0.35">
      <c r="A20" s="6" t="s">
        <v>335</v>
      </c>
      <c r="B20" s="11" t="s">
        <v>293</v>
      </c>
      <c r="C20" s="6" t="s">
        <v>294</v>
      </c>
      <c r="D20" s="6" t="s">
        <v>336</v>
      </c>
      <c r="E20" s="6" t="s">
        <v>296</v>
      </c>
      <c r="F20" s="6" t="s">
        <v>296</v>
      </c>
      <c r="G20" s="7" t="s">
        <v>297</v>
      </c>
      <c r="H20" s="7" t="s">
        <v>334</v>
      </c>
      <c r="I20" s="12" t="s">
        <v>324</v>
      </c>
      <c r="J20" s="7" t="s">
        <v>300</v>
      </c>
      <c r="S20" s="13" t="s">
        <v>301</v>
      </c>
    </row>
    <row r="21" spans="1:23" x14ac:dyDescent="0.35">
      <c r="A21" s="5" t="s">
        <v>337</v>
      </c>
      <c r="B21" s="14" t="s">
        <v>293</v>
      </c>
      <c r="C21" s="5" t="s">
        <v>294</v>
      </c>
      <c r="D21" s="5" t="s">
        <v>338</v>
      </c>
      <c r="E21" s="5" t="s">
        <v>296</v>
      </c>
      <c r="F21" s="5" t="s">
        <v>296</v>
      </c>
      <c r="G21" s="8" t="s">
        <v>339</v>
      </c>
      <c r="H21" s="8" t="s">
        <v>334</v>
      </c>
      <c r="I21" s="15" t="s">
        <v>324</v>
      </c>
      <c r="J21" s="8" t="s">
        <v>300</v>
      </c>
      <c r="O21" s="13" t="s">
        <v>301</v>
      </c>
      <c r="P21" s="13" t="s">
        <v>301</v>
      </c>
      <c r="Q21" s="13" t="s">
        <v>301</v>
      </c>
      <c r="R21" s="13" t="s">
        <v>301</v>
      </c>
      <c r="S21" s="13" t="s">
        <v>301</v>
      </c>
      <c r="T21" s="13" t="s">
        <v>301</v>
      </c>
    </row>
    <row r="22" spans="1:23" x14ac:dyDescent="0.35">
      <c r="A22" s="6" t="s">
        <v>340</v>
      </c>
      <c r="B22" s="11" t="s">
        <v>293</v>
      </c>
      <c r="C22" s="6" t="s">
        <v>294</v>
      </c>
      <c r="D22" s="6" t="s">
        <v>341</v>
      </c>
      <c r="E22" s="6" t="s">
        <v>296</v>
      </c>
      <c r="F22" s="6" t="s">
        <v>296</v>
      </c>
      <c r="G22" s="7" t="s">
        <v>297</v>
      </c>
      <c r="H22" s="7" t="s">
        <v>298</v>
      </c>
      <c r="I22" s="16" t="s">
        <v>342</v>
      </c>
      <c r="J22" s="7" t="s">
        <v>300</v>
      </c>
      <c r="M22" s="13" t="s">
        <v>301</v>
      </c>
      <c r="N22" s="13" t="s">
        <v>301</v>
      </c>
    </row>
    <row r="23" spans="1:23" x14ac:dyDescent="0.35">
      <c r="A23" s="5" t="s">
        <v>343</v>
      </c>
      <c r="B23" s="14" t="s">
        <v>293</v>
      </c>
      <c r="C23" s="5" t="s">
        <v>294</v>
      </c>
      <c r="D23" s="5" t="s">
        <v>344</v>
      </c>
      <c r="E23" s="5" t="s">
        <v>296</v>
      </c>
      <c r="F23" s="5" t="s">
        <v>296</v>
      </c>
      <c r="G23" s="8" t="s">
        <v>310</v>
      </c>
      <c r="H23" s="8" t="s">
        <v>298</v>
      </c>
      <c r="I23" s="15" t="s">
        <v>299</v>
      </c>
      <c r="J23" s="8" t="s">
        <v>300</v>
      </c>
      <c r="O23" s="13" t="s">
        <v>301</v>
      </c>
      <c r="P23" s="13" t="s">
        <v>301</v>
      </c>
    </row>
    <row r="24" spans="1:23" x14ac:dyDescent="0.35">
      <c r="A24" s="6" t="s">
        <v>345</v>
      </c>
      <c r="B24" s="11" t="s">
        <v>293</v>
      </c>
      <c r="C24" s="6" t="s">
        <v>294</v>
      </c>
      <c r="D24" s="6" t="s">
        <v>346</v>
      </c>
      <c r="E24" s="6" t="s">
        <v>296</v>
      </c>
      <c r="F24" s="6" t="s">
        <v>296</v>
      </c>
      <c r="G24" s="7" t="s">
        <v>310</v>
      </c>
      <c r="H24" s="7" t="s">
        <v>298</v>
      </c>
      <c r="I24" s="16" t="s">
        <v>342</v>
      </c>
      <c r="J24" s="7" t="s">
        <v>300</v>
      </c>
      <c r="O24" s="13" t="s">
        <v>301</v>
      </c>
      <c r="P24" s="13" t="s">
        <v>301</v>
      </c>
    </row>
    <row r="25" spans="1:23" x14ac:dyDescent="0.35">
      <c r="A25" s="5" t="s">
        <v>347</v>
      </c>
      <c r="B25" s="14" t="s">
        <v>293</v>
      </c>
      <c r="C25" s="5" t="s">
        <v>294</v>
      </c>
      <c r="D25" s="5" t="s">
        <v>348</v>
      </c>
      <c r="E25" s="5" t="s">
        <v>296</v>
      </c>
      <c r="F25" s="5" t="s">
        <v>296</v>
      </c>
      <c r="G25" s="8" t="s">
        <v>297</v>
      </c>
      <c r="H25" s="8" t="s">
        <v>298</v>
      </c>
      <c r="I25" s="15" t="s">
        <v>299</v>
      </c>
      <c r="J25" s="8" t="s">
        <v>300</v>
      </c>
      <c r="Q25" s="13" t="s">
        <v>301</v>
      </c>
    </row>
    <row r="26" spans="1:23" x14ac:dyDescent="0.35">
      <c r="A26" s="6" t="s">
        <v>349</v>
      </c>
      <c r="B26" s="11" t="s">
        <v>293</v>
      </c>
      <c r="C26" s="6" t="s">
        <v>294</v>
      </c>
      <c r="D26" s="6" t="s">
        <v>350</v>
      </c>
      <c r="E26" s="6" t="s">
        <v>296</v>
      </c>
      <c r="F26" s="6" t="s">
        <v>296</v>
      </c>
      <c r="G26" s="7" t="s">
        <v>297</v>
      </c>
      <c r="H26" s="7" t="s">
        <v>298</v>
      </c>
      <c r="I26" s="12" t="s">
        <v>299</v>
      </c>
      <c r="J26" s="7" t="s">
        <v>300</v>
      </c>
      <c r="Q26" s="13" t="s">
        <v>301</v>
      </c>
    </row>
    <row r="27" spans="1:23" x14ac:dyDescent="0.35">
      <c r="A27" s="5" t="s">
        <v>351</v>
      </c>
      <c r="B27" s="14" t="s">
        <v>293</v>
      </c>
      <c r="C27" s="5" t="s">
        <v>294</v>
      </c>
      <c r="D27" s="5" t="s">
        <v>352</v>
      </c>
      <c r="E27" s="5" t="s">
        <v>296</v>
      </c>
      <c r="F27" s="5" t="s">
        <v>296</v>
      </c>
      <c r="G27" s="8" t="s">
        <v>323</v>
      </c>
      <c r="H27" s="8" t="s">
        <v>334</v>
      </c>
      <c r="I27" s="17" t="s">
        <v>342</v>
      </c>
      <c r="J27" s="8" t="s">
        <v>300</v>
      </c>
      <c r="R27" s="13" t="s">
        <v>301</v>
      </c>
      <c r="S27" s="13" t="s">
        <v>301</v>
      </c>
    </row>
    <row r="28" spans="1:23" ht="24" x14ac:dyDescent="0.35">
      <c r="A28" s="6" t="s">
        <v>353</v>
      </c>
      <c r="B28" s="11" t="s">
        <v>293</v>
      </c>
      <c r="C28" s="6" t="s">
        <v>354</v>
      </c>
      <c r="D28" s="6" t="s">
        <v>355</v>
      </c>
      <c r="E28" s="6" t="s">
        <v>296</v>
      </c>
      <c r="F28" s="6" t="s">
        <v>296</v>
      </c>
      <c r="G28" s="7" t="s">
        <v>356</v>
      </c>
      <c r="H28" s="7" t="s">
        <v>357</v>
      </c>
      <c r="I28" s="12" t="s">
        <v>358</v>
      </c>
      <c r="J28" s="7" t="s">
        <v>300</v>
      </c>
      <c r="R28" s="13" t="s">
        <v>301</v>
      </c>
      <c r="S28" s="13" t="s">
        <v>301</v>
      </c>
      <c r="T28" s="13" t="s">
        <v>301</v>
      </c>
    </row>
    <row r="29" spans="1:23" x14ac:dyDescent="0.35">
      <c r="A29" s="5" t="s">
        <v>359</v>
      </c>
      <c r="B29" s="14" t="s">
        <v>293</v>
      </c>
      <c r="C29" s="5" t="s">
        <v>354</v>
      </c>
      <c r="D29" s="5" t="s">
        <v>360</v>
      </c>
      <c r="E29" s="5" t="s">
        <v>296</v>
      </c>
      <c r="F29" s="5" t="s">
        <v>296</v>
      </c>
      <c r="G29" s="8" t="s">
        <v>323</v>
      </c>
      <c r="H29" s="8" t="s">
        <v>298</v>
      </c>
      <c r="I29" s="15" t="s">
        <v>324</v>
      </c>
      <c r="J29" s="8" t="s">
        <v>300</v>
      </c>
      <c r="S29" s="13" t="s">
        <v>301</v>
      </c>
      <c r="T29" s="13" t="s">
        <v>301</v>
      </c>
    </row>
    <row r="30" spans="1:23" x14ac:dyDescent="0.35">
      <c r="A30" s="6" t="s">
        <v>361</v>
      </c>
      <c r="B30" s="11" t="s">
        <v>362</v>
      </c>
      <c r="C30" s="6" t="s">
        <v>363</v>
      </c>
      <c r="D30" s="6" t="s">
        <v>364</v>
      </c>
      <c r="E30" s="6" t="s">
        <v>296</v>
      </c>
      <c r="F30" s="6" t="s">
        <v>296</v>
      </c>
      <c r="G30" s="7" t="s">
        <v>365</v>
      </c>
      <c r="H30" s="7" t="s">
        <v>298</v>
      </c>
      <c r="I30" s="12" t="s">
        <v>299</v>
      </c>
      <c r="J30" s="7" t="s">
        <v>366</v>
      </c>
      <c r="U30" s="18" t="s">
        <v>301</v>
      </c>
      <c r="V30" s="18" t="s">
        <v>301</v>
      </c>
    </row>
    <row r="31" spans="1:23" x14ac:dyDescent="0.35">
      <c r="A31" s="5" t="s">
        <v>367</v>
      </c>
      <c r="B31" s="14" t="s">
        <v>362</v>
      </c>
      <c r="C31" s="5" t="s">
        <v>363</v>
      </c>
      <c r="D31" s="5" t="s">
        <v>368</v>
      </c>
      <c r="E31" s="5" t="s">
        <v>296</v>
      </c>
      <c r="F31" s="5" t="s">
        <v>296</v>
      </c>
      <c r="G31" s="8" t="s">
        <v>329</v>
      </c>
      <c r="H31" s="8" t="s">
        <v>298</v>
      </c>
      <c r="I31" s="15" t="s">
        <v>299</v>
      </c>
      <c r="J31" s="8" t="s">
        <v>366</v>
      </c>
      <c r="V31" s="18" t="s">
        <v>301</v>
      </c>
    </row>
    <row r="32" spans="1:23" x14ac:dyDescent="0.35">
      <c r="A32" s="6" t="s">
        <v>369</v>
      </c>
      <c r="B32" s="11" t="s">
        <v>362</v>
      </c>
      <c r="C32" s="6" t="s">
        <v>363</v>
      </c>
      <c r="D32" s="6" t="s">
        <v>370</v>
      </c>
      <c r="E32" s="6" t="s">
        <v>296</v>
      </c>
      <c r="F32" s="6" t="s">
        <v>296</v>
      </c>
      <c r="G32" s="7" t="s">
        <v>371</v>
      </c>
      <c r="H32" s="7" t="s">
        <v>298</v>
      </c>
      <c r="I32" s="12" t="s">
        <v>299</v>
      </c>
      <c r="J32" s="7" t="s">
        <v>366</v>
      </c>
      <c r="V32" s="18" t="s">
        <v>301</v>
      </c>
      <c r="W32" s="18" t="s">
        <v>301</v>
      </c>
    </row>
    <row r="33" spans="1:30" x14ac:dyDescent="0.35">
      <c r="A33" s="5" t="s">
        <v>372</v>
      </c>
      <c r="B33" s="14" t="s">
        <v>362</v>
      </c>
      <c r="C33" s="5" t="s">
        <v>363</v>
      </c>
      <c r="D33" s="5" t="s">
        <v>373</v>
      </c>
      <c r="E33" s="5" t="s">
        <v>296</v>
      </c>
      <c r="F33" s="5" t="s">
        <v>296</v>
      </c>
      <c r="G33" s="8" t="s">
        <v>374</v>
      </c>
      <c r="H33" s="8" t="s">
        <v>298</v>
      </c>
      <c r="I33" s="15" t="s">
        <v>299</v>
      </c>
      <c r="J33" s="8" t="s">
        <v>366</v>
      </c>
      <c r="U33" s="18" t="s">
        <v>301</v>
      </c>
      <c r="V33" s="18" t="s">
        <v>301</v>
      </c>
      <c r="W33" s="18" t="s">
        <v>301</v>
      </c>
    </row>
    <row r="34" spans="1:30" ht="26" x14ac:dyDescent="0.35">
      <c r="A34" s="6" t="s">
        <v>375</v>
      </c>
      <c r="B34" s="11" t="s">
        <v>362</v>
      </c>
      <c r="C34" s="6" t="s">
        <v>363</v>
      </c>
      <c r="D34" s="6" t="s">
        <v>376</v>
      </c>
      <c r="E34" s="6" t="s">
        <v>296</v>
      </c>
      <c r="F34" s="6" t="s">
        <v>296</v>
      </c>
      <c r="G34" s="7" t="s">
        <v>377</v>
      </c>
      <c r="H34" s="7" t="s">
        <v>298</v>
      </c>
      <c r="I34" s="12" t="s">
        <v>299</v>
      </c>
      <c r="J34" s="7" t="s">
        <v>366</v>
      </c>
      <c r="W34" s="18" t="s">
        <v>301</v>
      </c>
      <c r="X34" s="18" t="s">
        <v>301</v>
      </c>
      <c r="Y34" s="18" t="s">
        <v>301</v>
      </c>
    </row>
    <row r="35" spans="1:30" x14ac:dyDescent="0.35">
      <c r="A35" s="5" t="s">
        <v>378</v>
      </c>
      <c r="B35" s="14" t="s">
        <v>362</v>
      </c>
      <c r="C35" s="5" t="s">
        <v>363</v>
      </c>
      <c r="D35" s="5" t="s">
        <v>379</v>
      </c>
      <c r="E35" s="5" t="s">
        <v>296</v>
      </c>
      <c r="F35" s="5" t="s">
        <v>296</v>
      </c>
      <c r="G35" s="8" t="s">
        <v>323</v>
      </c>
      <c r="H35" s="8" t="s">
        <v>298</v>
      </c>
      <c r="I35" s="15" t="s">
        <v>315</v>
      </c>
      <c r="J35" s="8" t="s">
        <v>366</v>
      </c>
      <c r="X35" s="18" t="s">
        <v>301</v>
      </c>
    </row>
    <row r="36" spans="1:30" x14ac:dyDescent="0.35">
      <c r="A36" s="6" t="s">
        <v>380</v>
      </c>
      <c r="B36" s="11" t="s">
        <v>362</v>
      </c>
      <c r="C36" s="6" t="s">
        <v>363</v>
      </c>
      <c r="D36" s="6" t="s">
        <v>381</v>
      </c>
      <c r="E36" s="6" t="s">
        <v>296</v>
      </c>
      <c r="F36" s="6" t="s">
        <v>296</v>
      </c>
      <c r="G36" s="7" t="s">
        <v>371</v>
      </c>
      <c r="H36" s="7" t="s">
        <v>357</v>
      </c>
      <c r="I36" s="12" t="s">
        <v>299</v>
      </c>
      <c r="J36" s="7" t="s">
        <v>366</v>
      </c>
      <c r="X36" s="18" t="s">
        <v>301</v>
      </c>
      <c r="Y36" s="18" t="s">
        <v>301</v>
      </c>
    </row>
    <row r="37" spans="1:30" x14ac:dyDescent="0.35">
      <c r="A37" s="5" t="s">
        <v>382</v>
      </c>
      <c r="B37" s="14" t="s">
        <v>362</v>
      </c>
      <c r="C37" s="5" t="s">
        <v>363</v>
      </c>
      <c r="D37" s="5" t="s">
        <v>383</v>
      </c>
      <c r="E37" s="5" t="s">
        <v>296</v>
      </c>
      <c r="F37" s="5" t="s">
        <v>296</v>
      </c>
      <c r="G37" s="8" t="s">
        <v>297</v>
      </c>
      <c r="H37" s="8" t="s">
        <v>298</v>
      </c>
      <c r="I37" s="15" t="s">
        <v>299</v>
      </c>
      <c r="J37" s="8" t="s">
        <v>366</v>
      </c>
      <c r="Y37" s="18" t="s">
        <v>301</v>
      </c>
    </row>
    <row r="38" spans="1:30" x14ac:dyDescent="0.35">
      <c r="A38" s="6" t="s">
        <v>384</v>
      </c>
      <c r="B38" s="11" t="s">
        <v>362</v>
      </c>
      <c r="C38" s="6" t="s">
        <v>363</v>
      </c>
      <c r="D38" s="6" t="s">
        <v>385</v>
      </c>
      <c r="E38" s="6" t="s">
        <v>296</v>
      </c>
      <c r="F38" s="6" t="s">
        <v>296</v>
      </c>
      <c r="G38" s="7" t="s">
        <v>386</v>
      </c>
      <c r="H38" s="7" t="s">
        <v>298</v>
      </c>
      <c r="I38" s="12" t="s">
        <v>315</v>
      </c>
      <c r="J38" s="7" t="s">
        <v>366</v>
      </c>
      <c r="Y38" s="18" t="s">
        <v>301</v>
      </c>
      <c r="Z38" s="18" t="s">
        <v>301</v>
      </c>
    </row>
    <row r="39" spans="1:30" x14ac:dyDescent="0.35">
      <c r="A39" s="5" t="s">
        <v>387</v>
      </c>
      <c r="B39" s="14" t="s">
        <v>362</v>
      </c>
      <c r="C39" s="5" t="s">
        <v>363</v>
      </c>
      <c r="D39" s="5" t="s">
        <v>388</v>
      </c>
      <c r="E39" s="5" t="s">
        <v>296</v>
      </c>
      <c r="F39" s="5" t="s">
        <v>296</v>
      </c>
      <c r="G39" s="8" t="s">
        <v>310</v>
      </c>
      <c r="H39" s="8" t="s">
        <v>298</v>
      </c>
      <c r="I39" s="15" t="s">
        <v>299</v>
      </c>
      <c r="J39" s="8" t="s">
        <v>366</v>
      </c>
      <c r="Z39" s="18" t="s">
        <v>301</v>
      </c>
    </row>
    <row r="40" spans="1:30" x14ac:dyDescent="0.35">
      <c r="A40" s="6" t="s">
        <v>389</v>
      </c>
      <c r="B40" s="11" t="s">
        <v>362</v>
      </c>
      <c r="C40" s="6" t="s">
        <v>363</v>
      </c>
      <c r="D40" s="6" t="s">
        <v>390</v>
      </c>
      <c r="E40" s="6" t="s">
        <v>296</v>
      </c>
      <c r="F40" s="6" t="s">
        <v>76</v>
      </c>
      <c r="G40" s="7" t="s">
        <v>323</v>
      </c>
      <c r="H40" s="7" t="s">
        <v>298</v>
      </c>
      <c r="I40" s="12" t="s">
        <v>324</v>
      </c>
      <c r="J40" s="7" t="s">
        <v>391</v>
      </c>
      <c r="Z40" s="18" t="s">
        <v>301</v>
      </c>
      <c r="AA40" s="18" t="s">
        <v>301</v>
      </c>
    </row>
    <row r="41" spans="1:30" x14ac:dyDescent="0.35">
      <c r="A41" s="5" t="s">
        <v>392</v>
      </c>
      <c r="B41" s="14" t="s">
        <v>362</v>
      </c>
      <c r="C41" s="5" t="s">
        <v>363</v>
      </c>
      <c r="D41" s="5" t="s">
        <v>393</v>
      </c>
      <c r="E41" s="5" t="s">
        <v>296</v>
      </c>
      <c r="F41" s="5" t="s">
        <v>296</v>
      </c>
      <c r="G41" s="8" t="s">
        <v>323</v>
      </c>
      <c r="H41" s="8" t="s">
        <v>298</v>
      </c>
      <c r="I41" s="15" t="s">
        <v>299</v>
      </c>
      <c r="J41" s="8" t="s">
        <v>366</v>
      </c>
      <c r="AA41" s="18" t="s">
        <v>301</v>
      </c>
    </row>
    <row r="42" spans="1:30" x14ac:dyDescent="0.35">
      <c r="A42" s="6" t="s">
        <v>394</v>
      </c>
      <c r="B42" s="11" t="s">
        <v>362</v>
      </c>
      <c r="C42" s="6" t="s">
        <v>363</v>
      </c>
      <c r="D42" s="6" t="s">
        <v>395</v>
      </c>
      <c r="E42" s="6" t="s">
        <v>296</v>
      </c>
      <c r="F42" s="6" t="s">
        <v>296</v>
      </c>
      <c r="G42" s="7" t="s">
        <v>323</v>
      </c>
      <c r="H42" s="7" t="s">
        <v>298</v>
      </c>
      <c r="I42" s="12" t="s">
        <v>299</v>
      </c>
      <c r="J42" s="7" t="s">
        <v>366</v>
      </c>
      <c r="AA42" s="18" t="s">
        <v>301</v>
      </c>
      <c r="AB42" s="18" t="s">
        <v>301</v>
      </c>
    </row>
    <row r="43" spans="1:30" x14ac:dyDescent="0.35">
      <c r="A43" s="5" t="s">
        <v>396</v>
      </c>
      <c r="B43" s="14" t="s">
        <v>362</v>
      </c>
      <c r="C43" s="5" t="s">
        <v>363</v>
      </c>
      <c r="D43" s="5" t="s">
        <v>397</v>
      </c>
      <c r="E43" s="5" t="s">
        <v>296</v>
      </c>
      <c r="F43" s="5" t="s">
        <v>296</v>
      </c>
      <c r="G43" s="8" t="s">
        <v>318</v>
      </c>
      <c r="H43" s="8" t="s">
        <v>298</v>
      </c>
      <c r="I43" s="15" t="s">
        <v>315</v>
      </c>
      <c r="J43" s="8" t="s">
        <v>366</v>
      </c>
      <c r="AA43" s="18" t="s">
        <v>301</v>
      </c>
      <c r="AB43" s="18" t="s">
        <v>301</v>
      </c>
    </row>
    <row r="44" spans="1:30" ht="24" x14ac:dyDescent="0.35">
      <c r="A44" s="6" t="s">
        <v>398</v>
      </c>
      <c r="B44" s="11" t="s">
        <v>362</v>
      </c>
      <c r="C44" s="6" t="s">
        <v>363</v>
      </c>
      <c r="D44" s="6" t="s">
        <v>399</v>
      </c>
      <c r="E44" s="6" t="s">
        <v>296</v>
      </c>
      <c r="F44" s="6" t="s">
        <v>76</v>
      </c>
      <c r="G44" s="7" t="s">
        <v>297</v>
      </c>
      <c r="H44" s="7" t="s">
        <v>357</v>
      </c>
      <c r="I44" s="12" t="s">
        <v>358</v>
      </c>
      <c r="J44" s="7" t="s">
        <v>391</v>
      </c>
      <c r="AB44" s="18" t="s">
        <v>301</v>
      </c>
    </row>
    <row r="45" spans="1:30" x14ac:dyDescent="0.35">
      <c r="A45" s="5" t="s">
        <v>400</v>
      </c>
      <c r="B45" s="14" t="s">
        <v>362</v>
      </c>
      <c r="C45" s="5" t="s">
        <v>363</v>
      </c>
      <c r="D45" s="5" t="s">
        <v>401</v>
      </c>
      <c r="E45" s="5" t="s">
        <v>296</v>
      </c>
      <c r="F45" s="5" t="s">
        <v>296</v>
      </c>
      <c r="G45" s="8" t="s">
        <v>310</v>
      </c>
      <c r="H45" s="8" t="s">
        <v>298</v>
      </c>
      <c r="I45" s="15" t="s">
        <v>299</v>
      </c>
      <c r="J45" s="8" t="s">
        <v>366</v>
      </c>
      <c r="AB45" s="18" t="s">
        <v>301</v>
      </c>
    </row>
    <row r="46" spans="1:30" x14ac:dyDescent="0.35">
      <c r="A46" s="6" t="s">
        <v>402</v>
      </c>
      <c r="B46" s="11" t="s">
        <v>362</v>
      </c>
      <c r="C46" s="6" t="s">
        <v>363</v>
      </c>
      <c r="D46" s="6" t="s">
        <v>403</v>
      </c>
      <c r="E46" s="6" t="s">
        <v>296</v>
      </c>
      <c r="F46" s="6" t="s">
        <v>296</v>
      </c>
      <c r="G46" s="7" t="s">
        <v>323</v>
      </c>
      <c r="H46" s="7" t="s">
        <v>298</v>
      </c>
      <c r="I46" s="12" t="s">
        <v>299</v>
      </c>
      <c r="J46" s="7" t="s">
        <v>366</v>
      </c>
      <c r="AC46" s="18" t="s">
        <v>301</v>
      </c>
    </row>
    <row r="47" spans="1:30" x14ac:dyDescent="0.35">
      <c r="A47" s="5" t="s">
        <v>404</v>
      </c>
      <c r="B47" s="14" t="s">
        <v>362</v>
      </c>
      <c r="C47" s="5" t="s">
        <v>363</v>
      </c>
      <c r="D47" s="5" t="s">
        <v>405</v>
      </c>
      <c r="E47" s="5" t="s">
        <v>296</v>
      </c>
      <c r="F47" s="5" t="s">
        <v>76</v>
      </c>
      <c r="G47" s="8" t="s">
        <v>297</v>
      </c>
      <c r="H47" s="8" t="s">
        <v>357</v>
      </c>
      <c r="I47" s="15" t="s">
        <v>299</v>
      </c>
      <c r="J47" s="8" t="s">
        <v>366</v>
      </c>
      <c r="AC47" s="18" t="s">
        <v>301</v>
      </c>
    </row>
    <row r="48" spans="1:30" x14ac:dyDescent="0.35">
      <c r="A48" s="6" t="s">
        <v>406</v>
      </c>
      <c r="B48" s="11" t="s">
        <v>362</v>
      </c>
      <c r="C48" s="6" t="s">
        <v>363</v>
      </c>
      <c r="D48" s="6" t="s">
        <v>407</v>
      </c>
      <c r="E48" s="6" t="s">
        <v>296</v>
      </c>
      <c r="F48" s="6" t="s">
        <v>296</v>
      </c>
      <c r="G48" s="7" t="s">
        <v>310</v>
      </c>
      <c r="H48" s="7" t="s">
        <v>298</v>
      </c>
      <c r="I48" s="12" t="s">
        <v>299</v>
      </c>
      <c r="J48" s="7" t="s">
        <v>366</v>
      </c>
      <c r="AC48" s="18" t="s">
        <v>301</v>
      </c>
      <c r="AD48" s="18" t="s">
        <v>301</v>
      </c>
    </row>
    <row r="49" spans="1:30" x14ac:dyDescent="0.35">
      <c r="A49" s="5" t="s">
        <v>408</v>
      </c>
      <c r="B49" s="14" t="s">
        <v>362</v>
      </c>
      <c r="C49" s="5" t="s">
        <v>363</v>
      </c>
      <c r="D49" s="5" t="s">
        <v>409</v>
      </c>
      <c r="E49" s="5" t="s">
        <v>296</v>
      </c>
      <c r="F49" s="5" t="s">
        <v>76</v>
      </c>
      <c r="G49" s="8" t="s">
        <v>329</v>
      </c>
      <c r="H49" s="8" t="s">
        <v>298</v>
      </c>
      <c r="I49" s="15" t="s">
        <v>299</v>
      </c>
      <c r="J49" s="8" t="s">
        <v>366</v>
      </c>
      <c r="AD49" s="18" t="s">
        <v>301</v>
      </c>
    </row>
    <row r="51" spans="1:30" x14ac:dyDescent="0.35">
      <c r="A51" s="130" t="s">
        <v>410</v>
      </c>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row>
    <row r="52" spans="1:30" x14ac:dyDescent="0.35">
      <c r="A52" s="130" t="s">
        <v>411</v>
      </c>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row>
    <row r="53" spans="1:30" x14ac:dyDescent="0.35">
      <c r="A53" s="130" t="s">
        <v>412</v>
      </c>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c r="AA53" s="120"/>
      <c r="AB53" s="120"/>
      <c r="AC53" s="120"/>
      <c r="AD53" s="120"/>
    </row>
    <row r="54" spans="1:30" x14ac:dyDescent="0.35">
      <c r="A54" s="130" t="s">
        <v>413</v>
      </c>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c r="AA54" s="120"/>
      <c r="AB54" s="120"/>
      <c r="AC54" s="120"/>
      <c r="AD54" s="120"/>
    </row>
    <row r="55" spans="1:30" x14ac:dyDescent="0.35">
      <c r="A55" s="130" t="s">
        <v>414</v>
      </c>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row>
  </sheetData>
  <mergeCells count="8">
    <mergeCell ref="A1:AD1"/>
    <mergeCell ref="A53:AD53"/>
    <mergeCell ref="A54:AD54"/>
    <mergeCell ref="A55:AD55"/>
    <mergeCell ref="A52:AD52"/>
    <mergeCell ref="A2:AD2"/>
    <mergeCell ref="A51:AD51"/>
    <mergeCell ref="A4:J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3"/>
  <sheetViews>
    <sheetView showGridLines="0" workbookViewId="0">
      <selection sqref="A1:I1"/>
    </sheetView>
  </sheetViews>
  <sheetFormatPr defaultRowHeight="14.5" x14ac:dyDescent="0.35"/>
  <cols>
    <col min="1" max="1" width="26" customWidth="1"/>
    <col min="2" max="2" width="46" customWidth="1"/>
    <col min="3" max="3" width="22" customWidth="1"/>
    <col min="4" max="4" width="38" customWidth="1"/>
    <col min="5" max="5" width="20" customWidth="1"/>
    <col min="6" max="6" width="30" customWidth="1"/>
    <col min="7" max="7" width="32" customWidth="1"/>
    <col min="8" max="8" width="28" customWidth="1"/>
    <col min="9" max="9" width="12" customWidth="1"/>
  </cols>
  <sheetData>
    <row r="1" spans="1:9" ht="30" customHeight="1" x14ac:dyDescent="0.35">
      <c r="A1" s="119" t="s">
        <v>415</v>
      </c>
      <c r="B1" s="120"/>
      <c r="C1" s="120"/>
      <c r="D1" s="120"/>
      <c r="E1" s="120"/>
      <c r="F1" s="120"/>
      <c r="G1" s="120"/>
      <c r="H1" s="120"/>
      <c r="I1" s="120"/>
    </row>
    <row r="2" spans="1:9" ht="18" customHeight="1" x14ac:dyDescent="0.35">
      <c r="A2" s="125" t="s">
        <v>416</v>
      </c>
      <c r="B2" s="120"/>
      <c r="C2" s="120"/>
      <c r="D2" s="120"/>
      <c r="E2" s="120"/>
      <c r="F2" s="120"/>
      <c r="G2" s="120"/>
      <c r="H2" s="120"/>
      <c r="I2" s="120"/>
    </row>
    <row r="4" spans="1:9" ht="22" customHeight="1" x14ac:dyDescent="0.35">
      <c r="A4" s="122" t="s">
        <v>417</v>
      </c>
      <c r="B4" s="120"/>
      <c r="C4" s="120"/>
      <c r="D4" s="120"/>
      <c r="E4" s="120"/>
      <c r="F4" s="120"/>
      <c r="G4" s="120"/>
      <c r="H4" s="120"/>
      <c r="I4" s="120"/>
    </row>
    <row r="5" spans="1:9" ht="30" customHeight="1" x14ac:dyDescent="0.35">
      <c r="A5" s="4" t="s">
        <v>418</v>
      </c>
      <c r="B5" s="4" t="s">
        <v>419</v>
      </c>
      <c r="C5" s="4" t="s">
        <v>420</v>
      </c>
      <c r="D5" s="4" t="s">
        <v>421</v>
      </c>
      <c r="E5" s="4" t="s">
        <v>422</v>
      </c>
      <c r="F5" s="4" t="s">
        <v>423</v>
      </c>
      <c r="G5" s="4" t="s">
        <v>424</v>
      </c>
      <c r="H5" s="4" t="s">
        <v>425</v>
      </c>
      <c r="I5" s="4" t="s">
        <v>26</v>
      </c>
    </row>
    <row r="6" spans="1:9" ht="58" customHeight="1" x14ac:dyDescent="0.35">
      <c r="A6" s="6" t="s">
        <v>426</v>
      </c>
      <c r="B6" s="6" t="s">
        <v>427</v>
      </c>
      <c r="C6" s="6" t="s">
        <v>8</v>
      </c>
      <c r="D6" s="6" t="s">
        <v>428</v>
      </c>
      <c r="E6" s="6" t="s">
        <v>429</v>
      </c>
      <c r="F6" s="6" t="s">
        <v>430</v>
      </c>
      <c r="G6" s="6" t="s">
        <v>431</v>
      </c>
      <c r="H6" s="6" t="s">
        <v>432</v>
      </c>
      <c r="I6" s="7" t="s">
        <v>433</v>
      </c>
    </row>
    <row r="7" spans="1:9" ht="58" customHeight="1" x14ac:dyDescent="0.35">
      <c r="A7" s="5" t="s">
        <v>434</v>
      </c>
      <c r="B7" s="5" t="s">
        <v>435</v>
      </c>
      <c r="C7" s="5" t="s">
        <v>436</v>
      </c>
      <c r="D7" s="5" t="s">
        <v>437</v>
      </c>
      <c r="E7" s="5" t="s">
        <v>438</v>
      </c>
      <c r="F7" s="5" t="s">
        <v>439</v>
      </c>
      <c r="G7" s="5" t="s">
        <v>440</v>
      </c>
      <c r="H7" s="5" t="s">
        <v>441</v>
      </c>
      <c r="I7" s="8" t="s">
        <v>433</v>
      </c>
    </row>
    <row r="8" spans="1:9" ht="58" customHeight="1" x14ac:dyDescent="0.35">
      <c r="A8" s="6" t="s">
        <v>442</v>
      </c>
      <c r="B8" s="6" t="s">
        <v>443</v>
      </c>
      <c r="C8" s="6" t="s">
        <v>444</v>
      </c>
      <c r="D8" s="6" t="s">
        <v>445</v>
      </c>
      <c r="E8" s="6" t="s">
        <v>446</v>
      </c>
      <c r="F8" s="6" t="s">
        <v>447</v>
      </c>
      <c r="G8" s="6" t="s">
        <v>448</v>
      </c>
      <c r="H8" s="6" t="s">
        <v>449</v>
      </c>
      <c r="I8" s="7" t="s">
        <v>433</v>
      </c>
    </row>
    <row r="9" spans="1:9" ht="58" customHeight="1" x14ac:dyDescent="0.35">
      <c r="A9" s="5" t="s">
        <v>450</v>
      </c>
      <c r="B9" s="5" t="s">
        <v>451</v>
      </c>
      <c r="C9" s="5" t="s">
        <v>452</v>
      </c>
      <c r="D9" s="5" t="s">
        <v>453</v>
      </c>
      <c r="E9" s="5" t="s">
        <v>454</v>
      </c>
      <c r="F9" s="5" t="s">
        <v>455</v>
      </c>
      <c r="G9" s="5" t="s">
        <v>456</v>
      </c>
      <c r="H9" s="5" t="s">
        <v>441</v>
      </c>
      <c r="I9" s="8" t="s">
        <v>433</v>
      </c>
    </row>
    <row r="10" spans="1:9" ht="58" customHeight="1" x14ac:dyDescent="0.35">
      <c r="A10" s="6" t="s">
        <v>457</v>
      </c>
      <c r="B10" s="6" t="s">
        <v>458</v>
      </c>
      <c r="C10" s="6" t="s">
        <v>76</v>
      </c>
      <c r="D10" s="6" t="s">
        <v>459</v>
      </c>
      <c r="E10" s="6" t="s">
        <v>460</v>
      </c>
      <c r="F10" s="6" t="s">
        <v>461</v>
      </c>
      <c r="G10" s="6" t="s">
        <v>462</v>
      </c>
      <c r="H10" s="6" t="s">
        <v>441</v>
      </c>
      <c r="I10" s="7" t="s">
        <v>433</v>
      </c>
    </row>
    <row r="11" spans="1:9" ht="58" customHeight="1" x14ac:dyDescent="0.35">
      <c r="A11" s="5" t="s">
        <v>463</v>
      </c>
      <c r="B11" s="5" t="s">
        <v>464</v>
      </c>
      <c r="C11" s="5" t="s">
        <v>296</v>
      </c>
      <c r="D11" s="5" t="s">
        <v>465</v>
      </c>
      <c r="E11" s="5" t="s">
        <v>466</v>
      </c>
      <c r="F11" s="5" t="s">
        <v>467</v>
      </c>
      <c r="G11" s="5" t="s">
        <v>468</v>
      </c>
      <c r="H11" s="5" t="s">
        <v>441</v>
      </c>
      <c r="I11" s="8" t="s">
        <v>433</v>
      </c>
    </row>
    <row r="12" spans="1:9" ht="58" customHeight="1" x14ac:dyDescent="0.35">
      <c r="A12" s="6" t="s">
        <v>469</v>
      </c>
      <c r="B12" s="6" t="s">
        <v>470</v>
      </c>
      <c r="C12" s="6" t="s">
        <v>10</v>
      </c>
      <c r="D12" s="6" t="s">
        <v>471</v>
      </c>
      <c r="E12" s="6" t="s">
        <v>472</v>
      </c>
      <c r="F12" s="6" t="s">
        <v>473</v>
      </c>
      <c r="G12" s="6" t="s">
        <v>474</v>
      </c>
      <c r="H12" s="6" t="s">
        <v>475</v>
      </c>
      <c r="I12" s="7" t="s">
        <v>433</v>
      </c>
    </row>
    <row r="14" spans="1:9" ht="22" customHeight="1" x14ac:dyDescent="0.35">
      <c r="A14" s="122" t="s">
        <v>476</v>
      </c>
      <c r="B14" s="120"/>
      <c r="C14" s="120"/>
      <c r="D14" s="120"/>
      <c r="E14" s="120"/>
      <c r="F14" s="120"/>
      <c r="G14" s="120"/>
      <c r="H14" s="120"/>
      <c r="I14" s="120"/>
    </row>
    <row r="15" spans="1:9" ht="30" customHeight="1" x14ac:dyDescent="0.35">
      <c r="A15" s="4" t="s">
        <v>477</v>
      </c>
      <c r="B15" s="4" t="s">
        <v>478</v>
      </c>
      <c r="C15" s="4" t="s">
        <v>479</v>
      </c>
      <c r="D15" s="4" t="s">
        <v>480</v>
      </c>
      <c r="E15" s="4" t="s">
        <v>481</v>
      </c>
      <c r="F15" s="4" t="s">
        <v>482</v>
      </c>
      <c r="G15" s="4" t="s">
        <v>26</v>
      </c>
      <c r="H15" s="4"/>
      <c r="I15" s="4"/>
    </row>
    <row r="16" spans="1:9" ht="26" x14ac:dyDescent="0.35">
      <c r="A16" s="7" t="s">
        <v>483</v>
      </c>
      <c r="B16" s="7" t="s">
        <v>484</v>
      </c>
      <c r="C16" s="6" t="s">
        <v>485</v>
      </c>
      <c r="D16" s="6" t="s">
        <v>486</v>
      </c>
      <c r="E16" s="6" t="s">
        <v>487</v>
      </c>
      <c r="F16" s="6" t="s">
        <v>488</v>
      </c>
      <c r="G16" s="7" t="s">
        <v>489</v>
      </c>
      <c r="H16" s="6"/>
      <c r="I16" s="6"/>
    </row>
    <row r="17" spans="1:9" ht="39" x14ac:dyDescent="0.35">
      <c r="A17" s="8" t="s">
        <v>490</v>
      </c>
      <c r="B17" s="8" t="s">
        <v>484</v>
      </c>
      <c r="C17" s="5" t="s">
        <v>491</v>
      </c>
      <c r="D17" s="5" t="s">
        <v>492</v>
      </c>
      <c r="E17" s="5" t="s">
        <v>493</v>
      </c>
      <c r="F17" s="5" t="s">
        <v>494</v>
      </c>
      <c r="G17" s="8" t="s">
        <v>489</v>
      </c>
      <c r="H17" s="5"/>
      <c r="I17" s="5"/>
    </row>
    <row r="18" spans="1:9" ht="26" x14ac:dyDescent="0.35">
      <c r="A18" s="7" t="s">
        <v>495</v>
      </c>
      <c r="B18" s="7" t="s">
        <v>484</v>
      </c>
      <c r="C18" s="6" t="s">
        <v>496</v>
      </c>
      <c r="D18" s="6" t="s">
        <v>442</v>
      </c>
      <c r="E18" s="6" t="s">
        <v>497</v>
      </c>
      <c r="F18" s="6" t="s">
        <v>498</v>
      </c>
      <c r="G18" s="7" t="s">
        <v>499</v>
      </c>
      <c r="H18" s="6"/>
      <c r="I18" s="6"/>
    </row>
    <row r="19" spans="1:9" ht="26" x14ac:dyDescent="0.35">
      <c r="A19" s="8" t="s">
        <v>500</v>
      </c>
      <c r="B19" s="8" t="s">
        <v>484</v>
      </c>
      <c r="C19" s="5" t="s">
        <v>501</v>
      </c>
      <c r="D19" s="5" t="s">
        <v>502</v>
      </c>
      <c r="E19" s="5" t="s">
        <v>503</v>
      </c>
      <c r="F19" s="5" t="s">
        <v>504</v>
      </c>
      <c r="G19" s="8" t="s">
        <v>499</v>
      </c>
      <c r="H19" s="5"/>
      <c r="I19" s="5"/>
    </row>
    <row r="20" spans="1:9" ht="26" x14ac:dyDescent="0.35">
      <c r="A20" s="7" t="s">
        <v>505</v>
      </c>
      <c r="B20" s="7" t="s">
        <v>484</v>
      </c>
      <c r="C20" s="6" t="s">
        <v>506</v>
      </c>
      <c r="D20" s="6" t="s">
        <v>507</v>
      </c>
      <c r="E20" s="6" t="s">
        <v>508</v>
      </c>
      <c r="F20" s="6" t="s">
        <v>509</v>
      </c>
      <c r="G20" s="7" t="s">
        <v>499</v>
      </c>
      <c r="H20" s="6"/>
      <c r="I20" s="6"/>
    </row>
    <row r="21" spans="1:9" ht="39" x14ac:dyDescent="0.35">
      <c r="A21" s="8" t="s">
        <v>510</v>
      </c>
      <c r="B21" s="8" t="s">
        <v>484</v>
      </c>
      <c r="C21" s="5" t="s">
        <v>511</v>
      </c>
      <c r="D21" s="5" t="s">
        <v>486</v>
      </c>
      <c r="E21" s="5" t="s">
        <v>512</v>
      </c>
      <c r="F21" s="5" t="s">
        <v>513</v>
      </c>
      <c r="G21" s="8" t="s">
        <v>499</v>
      </c>
      <c r="H21" s="5"/>
      <c r="I21" s="5"/>
    </row>
    <row r="22" spans="1:9" ht="52" x14ac:dyDescent="0.35">
      <c r="A22" s="7" t="s">
        <v>514</v>
      </c>
      <c r="B22" s="7" t="s">
        <v>29</v>
      </c>
      <c r="C22" s="6" t="s">
        <v>515</v>
      </c>
      <c r="D22" s="6" t="s">
        <v>486</v>
      </c>
      <c r="E22" s="6" t="s">
        <v>516</v>
      </c>
      <c r="F22" s="6" t="s">
        <v>517</v>
      </c>
      <c r="G22" s="7" t="s">
        <v>489</v>
      </c>
      <c r="H22" s="6"/>
      <c r="I22" s="6"/>
    </row>
    <row r="23" spans="1:9" ht="39" x14ac:dyDescent="0.35">
      <c r="A23" s="8" t="s">
        <v>518</v>
      </c>
      <c r="B23" s="8" t="s">
        <v>29</v>
      </c>
      <c r="C23" s="5" t="s">
        <v>519</v>
      </c>
      <c r="D23" s="5" t="s">
        <v>507</v>
      </c>
      <c r="E23" s="5" t="s">
        <v>520</v>
      </c>
      <c r="F23" s="5" t="s">
        <v>521</v>
      </c>
      <c r="G23" s="8" t="s">
        <v>489</v>
      </c>
      <c r="H23" s="5"/>
      <c r="I23" s="5"/>
    </row>
    <row r="24" spans="1:9" ht="52" x14ac:dyDescent="0.35">
      <c r="A24" s="7" t="s">
        <v>522</v>
      </c>
      <c r="B24" s="7" t="s">
        <v>29</v>
      </c>
      <c r="C24" s="6" t="s">
        <v>523</v>
      </c>
      <c r="D24" s="6" t="s">
        <v>524</v>
      </c>
      <c r="E24" s="6" t="s">
        <v>525</v>
      </c>
      <c r="F24" s="6" t="s">
        <v>526</v>
      </c>
      <c r="G24" s="7" t="s">
        <v>527</v>
      </c>
      <c r="H24" s="6"/>
      <c r="I24" s="6"/>
    </row>
    <row r="25" spans="1:9" ht="39" x14ac:dyDescent="0.35">
      <c r="A25" s="8" t="s">
        <v>528</v>
      </c>
      <c r="B25" s="8" t="s">
        <v>29</v>
      </c>
      <c r="C25" s="5" t="s">
        <v>529</v>
      </c>
      <c r="D25" s="5" t="s">
        <v>442</v>
      </c>
      <c r="E25" s="5" t="s">
        <v>530</v>
      </c>
      <c r="F25" s="5" t="s">
        <v>531</v>
      </c>
      <c r="G25" s="8" t="s">
        <v>489</v>
      </c>
      <c r="H25" s="5"/>
      <c r="I25" s="5"/>
    </row>
    <row r="26" spans="1:9" ht="26" x14ac:dyDescent="0.35">
      <c r="A26" s="7" t="s">
        <v>532</v>
      </c>
      <c r="B26" s="7" t="s">
        <v>29</v>
      </c>
      <c r="C26" s="6" t="s">
        <v>533</v>
      </c>
      <c r="D26" s="6" t="s">
        <v>534</v>
      </c>
      <c r="E26" s="6" t="s">
        <v>535</v>
      </c>
      <c r="F26" s="6" t="s">
        <v>536</v>
      </c>
      <c r="G26" s="7" t="s">
        <v>489</v>
      </c>
      <c r="H26" s="6"/>
      <c r="I26" s="6"/>
    </row>
    <row r="27" spans="1:9" ht="39" x14ac:dyDescent="0.35">
      <c r="A27" s="8" t="s">
        <v>537</v>
      </c>
      <c r="B27" s="8" t="s">
        <v>29</v>
      </c>
      <c r="C27" s="5" t="s">
        <v>538</v>
      </c>
      <c r="D27" s="5" t="s">
        <v>486</v>
      </c>
      <c r="E27" s="5" t="s">
        <v>539</v>
      </c>
      <c r="F27" s="5" t="s">
        <v>540</v>
      </c>
      <c r="G27" s="8" t="s">
        <v>499</v>
      </c>
      <c r="H27" s="5"/>
      <c r="I27" s="5"/>
    </row>
    <row r="29" spans="1:9" ht="22" customHeight="1" x14ac:dyDescent="0.35">
      <c r="A29" s="122" t="s">
        <v>541</v>
      </c>
      <c r="B29" s="120"/>
      <c r="C29" s="120"/>
      <c r="D29" s="120"/>
      <c r="E29" s="120"/>
      <c r="F29" s="120"/>
      <c r="G29" s="120"/>
      <c r="H29" s="120"/>
      <c r="I29" s="120"/>
    </row>
    <row r="30" spans="1:9" x14ac:dyDescent="0.35">
      <c r="A30" s="132" t="s">
        <v>542</v>
      </c>
      <c r="B30" s="120"/>
      <c r="C30" s="120"/>
      <c r="D30" s="120"/>
      <c r="E30" s="120"/>
      <c r="F30" s="120"/>
      <c r="G30" s="120"/>
      <c r="H30" s="120"/>
      <c r="I30" s="120"/>
    </row>
    <row r="31" spans="1:9" x14ac:dyDescent="0.35">
      <c r="A31" s="132" t="s">
        <v>543</v>
      </c>
      <c r="B31" s="120"/>
      <c r="C31" s="120"/>
      <c r="D31" s="120"/>
      <c r="E31" s="120"/>
      <c r="F31" s="120"/>
      <c r="G31" s="120"/>
      <c r="H31" s="120"/>
      <c r="I31" s="120"/>
    </row>
    <row r="32" spans="1:9" x14ac:dyDescent="0.35">
      <c r="A32" s="132" t="s">
        <v>544</v>
      </c>
      <c r="B32" s="120"/>
      <c r="C32" s="120"/>
      <c r="D32" s="120"/>
      <c r="E32" s="120"/>
      <c r="F32" s="120"/>
      <c r="G32" s="120"/>
      <c r="H32" s="120"/>
      <c r="I32" s="120"/>
    </row>
    <row r="33" spans="1:9" x14ac:dyDescent="0.35">
      <c r="A33" s="132" t="s">
        <v>545</v>
      </c>
      <c r="B33" s="120"/>
      <c r="C33" s="120"/>
      <c r="D33" s="120"/>
      <c r="E33" s="120"/>
      <c r="F33" s="120"/>
      <c r="G33" s="120"/>
      <c r="H33" s="120"/>
      <c r="I33" s="120"/>
    </row>
  </sheetData>
  <mergeCells count="9">
    <mergeCell ref="A1:I1"/>
    <mergeCell ref="A31:I31"/>
    <mergeCell ref="A4:I4"/>
    <mergeCell ref="A30:I30"/>
    <mergeCell ref="A29:I29"/>
    <mergeCell ref="A2:I2"/>
    <mergeCell ref="A33:I33"/>
    <mergeCell ref="A32:I32"/>
    <mergeCell ref="A14:I1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8"/>
  <sheetViews>
    <sheetView showGridLines="0" workbookViewId="0">
      <selection sqref="A1:H1"/>
    </sheetView>
  </sheetViews>
  <sheetFormatPr defaultRowHeight="14.5" x14ac:dyDescent="0.35"/>
  <cols>
    <col min="1" max="1" width="26" customWidth="1"/>
    <col min="2" max="2" width="30" customWidth="1"/>
    <col min="3" max="3" width="34" customWidth="1"/>
    <col min="4" max="4" width="16" customWidth="1"/>
    <col min="5" max="6" width="26" customWidth="1"/>
    <col min="7" max="7" width="30" customWidth="1"/>
    <col min="8" max="8" width="26" customWidth="1"/>
  </cols>
  <sheetData>
    <row r="1" spans="1:8" ht="30" customHeight="1" x14ac:dyDescent="0.35">
      <c r="A1" s="119" t="s">
        <v>546</v>
      </c>
      <c r="B1" s="120"/>
      <c r="C1" s="120"/>
      <c r="D1" s="120"/>
      <c r="E1" s="120"/>
      <c r="F1" s="120"/>
      <c r="G1" s="120"/>
      <c r="H1" s="120"/>
    </row>
    <row r="2" spans="1:8" ht="18" customHeight="1" x14ac:dyDescent="0.35">
      <c r="A2" s="125" t="s">
        <v>547</v>
      </c>
      <c r="B2" s="120"/>
      <c r="C2" s="120"/>
      <c r="D2" s="120"/>
      <c r="E2" s="120"/>
      <c r="F2" s="120"/>
      <c r="G2" s="120"/>
      <c r="H2" s="120"/>
    </row>
    <row r="4" spans="1:8" ht="22" customHeight="1" x14ac:dyDescent="0.35">
      <c r="A4" s="122" t="s">
        <v>548</v>
      </c>
      <c r="B4" s="120"/>
      <c r="C4" s="120"/>
      <c r="D4" s="120"/>
      <c r="E4" s="120"/>
      <c r="F4" s="120"/>
      <c r="G4" s="120"/>
      <c r="H4" s="120"/>
    </row>
    <row r="5" spans="1:8" ht="34" customHeight="1" x14ac:dyDescent="0.35">
      <c r="A5" s="134" t="s">
        <v>549</v>
      </c>
      <c r="B5" s="120"/>
      <c r="C5" s="133" t="s">
        <v>550</v>
      </c>
      <c r="D5" s="127"/>
      <c r="E5" s="127"/>
      <c r="F5" s="127"/>
      <c r="G5" s="127"/>
      <c r="H5" s="128"/>
    </row>
    <row r="6" spans="1:8" ht="34" customHeight="1" x14ac:dyDescent="0.35">
      <c r="A6" s="134" t="s">
        <v>551</v>
      </c>
      <c r="B6" s="120"/>
      <c r="C6" s="133" t="s">
        <v>552</v>
      </c>
      <c r="D6" s="127"/>
      <c r="E6" s="127"/>
      <c r="F6" s="127"/>
      <c r="G6" s="127"/>
      <c r="H6" s="128"/>
    </row>
    <row r="7" spans="1:8" ht="34" customHeight="1" x14ac:dyDescent="0.35">
      <c r="A7" s="134" t="s">
        <v>553</v>
      </c>
      <c r="B7" s="120"/>
      <c r="C7" s="133" t="s">
        <v>554</v>
      </c>
      <c r="D7" s="127"/>
      <c r="E7" s="127"/>
      <c r="F7" s="127"/>
      <c r="G7" s="127"/>
      <c r="H7" s="128"/>
    </row>
    <row r="8" spans="1:8" ht="34" customHeight="1" x14ac:dyDescent="0.35">
      <c r="A8" s="134" t="s">
        <v>555</v>
      </c>
      <c r="B8" s="120"/>
      <c r="C8" s="133" t="s">
        <v>556</v>
      </c>
      <c r="D8" s="127"/>
      <c r="E8" s="127"/>
      <c r="F8" s="127"/>
      <c r="G8" s="127"/>
      <c r="H8" s="128"/>
    </row>
    <row r="9" spans="1:8" ht="34" customHeight="1" x14ac:dyDescent="0.35">
      <c r="A9" s="134" t="s">
        <v>557</v>
      </c>
      <c r="B9" s="120"/>
      <c r="C9" s="133" t="s">
        <v>558</v>
      </c>
      <c r="D9" s="127"/>
      <c r="E9" s="127"/>
      <c r="F9" s="127"/>
      <c r="G9" s="127"/>
      <c r="H9" s="128"/>
    </row>
    <row r="11" spans="1:8" ht="22" customHeight="1" x14ac:dyDescent="0.35">
      <c r="A11" s="122" t="s">
        <v>559</v>
      </c>
      <c r="B11" s="120"/>
      <c r="C11" s="120"/>
      <c r="D11" s="120"/>
      <c r="E11" s="120"/>
      <c r="F11" s="120"/>
      <c r="G11" s="120"/>
      <c r="H11" s="120"/>
    </row>
    <row r="12" spans="1:8" ht="30" customHeight="1" x14ac:dyDescent="0.35">
      <c r="A12" s="4" t="s">
        <v>560</v>
      </c>
      <c r="B12" s="4" t="s">
        <v>185</v>
      </c>
      <c r="C12" s="4" t="s">
        <v>561</v>
      </c>
      <c r="D12" s="4" t="s">
        <v>562</v>
      </c>
      <c r="E12" s="4" t="s">
        <v>563</v>
      </c>
      <c r="F12" s="4" t="s">
        <v>564</v>
      </c>
      <c r="G12" s="4" t="s">
        <v>565</v>
      </c>
      <c r="H12" s="4" t="s">
        <v>60</v>
      </c>
    </row>
    <row r="13" spans="1:8" ht="26" x14ac:dyDescent="0.35">
      <c r="A13" s="5" t="s">
        <v>566</v>
      </c>
      <c r="B13" s="5" t="s">
        <v>567</v>
      </c>
      <c r="C13" s="8" t="s">
        <v>568</v>
      </c>
      <c r="D13" s="8" t="s">
        <v>569</v>
      </c>
      <c r="E13" s="5" t="s">
        <v>570</v>
      </c>
      <c r="F13" s="5" t="s">
        <v>571</v>
      </c>
      <c r="G13" s="5" t="s">
        <v>572</v>
      </c>
      <c r="H13" s="5" t="s">
        <v>79</v>
      </c>
    </row>
    <row r="14" spans="1:8" ht="26" x14ac:dyDescent="0.35">
      <c r="A14" s="6" t="s">
        <v>573</v>
      </c>
      <c r="B14" s="6" t="s">
        <v>574</v>
      </c>
      <c r="C14" s="7" t="s">
        <v>568</v>
      </c>
      <c r="D14" s="7" t="s">
        <v>568</v>
      </c>
      <c r="E14" s="6" t="s">
        <v>570</v>
      </c>
      <c r="F14" s="6" t="s">
        <v>575</v>
      </c>
      <c r="G14" s="6" t="s">
        <v>576</v>
      </c>
      <c r="H14" s="6" t="s">
        <v>79</v>
      </c>
    </row>
    <row r="15" spans="1:8" ht="26" x14ac:dyDescent="0.35">
      <c r="A15" s="5" t="s">
        <v>577</v>
      </c>
      <c r="B15" s="5" t="s">
        <v>578</v>
      </c>
      <c r="C15" s="8" t="s">
        <v>568</v>
      </c>
      <c r="D15" s="8" t="s">
        <v>568</v>
      </c>
      <c r="E15" s="5" t="s">
        <v>579</v>
      </c>
      <c r="F15" s="5" t="s">
        <v>580</v>
      </c>
      <c r="G15" s="5" t="s">
        <v>581</v>
      </c>
      <c r="H15" s="5" t="s">
        <v>582</v>
      </c>
    </row>
    <row r="16" spans="1:8" x14ac:dyDescent="0.35">
      <c r="A16" s="6" t="s">
        <v>583</v>
      </c>
      <c r="B16" s="6" t="s">
        <v>584</v>
      </c>
      <c r="C16" s="7" t="s">
        <v>568</v>
      </c>
      <c r="D16" s="7" t="s">
        <v>569</v>
      </c>
      <c r="E16" s="6" t="s">
        <v>579</v>
      </c>
      <c r="F16" s="6" t="s">
        <v>585</v>
      </c>
      <c r="G16" s="6" t="s">
        <v>586</v>
      </c>
      <c r="H16" s="6" t="s">
        <v>587</v>
      </c>
    </row>
    <row r="17" spans="1:8" x14ac:dyDescent="0.35">
      <c r="A17" s="5" t="s">
        <v>588</v>
      </c>
      <c r="B17" s="5" t="s">
        <v>589</v>
      </c>
      <c r="C17" s="8" t="s">
        <v>568</v>
      </c>
      <c r="D17" s="8" t="s">
        <v>569</v>
      </c>
      <c r="E17" s="5" t="s">
        <v>590</v>
      </c>
      <c r="F17" s="5" t="s">
        <v>591</v>
      </c>
      <c r="G17" s="5" t="s">
        <v>592</v>
      </c>
      <c r="H17" s="5" t="s">
        <v>593</v>
      </c>
    </row>
    <row r="18" spans="1:8" x14ac:dyDescent="0.35">
      <c r="A18" s="6" t="s">
        <v>594</v>
      </c>
      <c r="B18" s="6" t="s">
        <v>595</v>
      </c>
      <c r="C18" s="7" t="s">
        <v>569</v>
      </c>
      <c r="D18" s="7" t="s">
        <v>568</v>
      </c>
      <c r="E18" s="6" t="s">
        <v>579</v>
      </c>
      <c r="F18" s="6" t="s">
        <v>596</v>
      </c>
      <c r="G18" s="6" t="s">
        <v>597</v>
      </c>
      <c r="H18" s="6" t="s">
        <v>436</v>
      </c>
    </row>
    <row r="19" spans="1:8" x14ac:dyDescent="0.35">
      <c r="A19" s="5" t="s">
        <v>598</v>
      </c>
      <c r="B19" s="5" t="s">
        <v>595</v>
      </c>
      <c r="C19" s="8" t="s">
        <v>569</v>
      </c>
      <c r="D19" s="8" t="s">
        <v>568</v>
      </c>
      <c r="E19" s="5" t="s">
        <v>599</v>
      </c>
      <c r="F19" s="5" t="s">
        <v>600</v>
      </c>
      <c r="G19" s="5" t="s">
        <v>601</v>
      </c>
      <c r="H19" s="5" t="s">
        <v>444</v>
      </c>
    </row>
    <row r="20" spans="1:8" x14ac:dyDescent="0.35">
      <c r="A20" s="6" t="s">
        <v>602</v>
      </c>
      <c r="B20" s="6" t="s">
        <v>603</v>
      </c>
      <c r="C20" s="7" t="s">
        <v>569</v>
      </c>
      <c r="D20" s="7" t="s">
        <v>568</v>
      </c>
      <c r="E20" s="6" t="s">
        <v>579</v>
      </c>
      <c r="F20" s="6" t="s">
        <v>604</v>
      </c>
      <c r="G20" s="6" t="s">
        <v>605</v>
      </c>
      <c r="H20" s="6" t="s">
        <v>296</v>
      </c>
    </row>
    <row r="21" spans="1:8" x14ac:dyDescent="0.35">
      <c r="A21" s="5" t="s">
        <v>606</v>
      </c>
      <c r="B21" s="5" t="s">
        <v>607</v>
      </c>
      <c r="C21" s="8" t="s">
        <v>569</v>
      </c>
      <c r="D21" s="8" t="s">
        <v>568</v>
      </c>
      <c r="E21" s="5" t="s">
        <v>579</v>
      </c>
      <c r="F21" s="5" t="s">
        <v>608</v>
      </c>
      <c r="G21" s="5" t="s">
        <v>609</v>
      </c>
      <c r="H21" s="5" t="s">
        <v>73</v>
      </c>
    </row>
    <row r="23" spans="1:8" ht="22" customHeight="1" x14ac:dyDescent="0.35">
      <c r="A23" s="122" t="s">
        <v>610</v>
      </c>
      <c r="B23" s="120"/>
      <c r="C23" s="120"/>
      <c r="D23" s="120"/>
      <c r="E23" s="120"/>
      <c r="F23" s="120"/>
      <c r="G23" s="120"/>
      <c r="H23" s="120"/>
    </row>
    <row r="24" spans="1:8" ht="30" customHeight="1" x14ac:dyDescent="0.35">
      <c r="A24" s="4" t="s">
        <v>611</v>
      </c>
      <c r="B24" s="4" t="s">
        <v>612</v>
      </c>
      <c r="C24" s="4" t="s">
        <v>613</v>
      </c>
      <c r="D24" s="4" t="s">
        <v>614</v>
      </c>
      <c r="E24" s="4" t="s">
        <v>615</v>
      </c>
      <c r="F24" s="4" t="s">
        <v>60</v>
      </c>
      <c r="G24" s="4"/>
      <c r="H24" s="4"/>
    </row>
    <row r="25" spans="1:8" ht="30" customHeight="1" x14ac:dyDescent="0.35">
      <c r="A25" s="5" t="s">
        <v>616</v>
      </c>
      <c r="B25" s="5" t="s">
        <v>617</v>
      </c>
      <c r="C25" s="5" t="s">
        <v>618</v>
      </c>
      <c r="D25" s="8" t="s">
        <v>569</v>
      </c>
      <c r="E25" s="5" t="s">
        <v>619</v>
      </c>
      <c r="F25" s="5" t="s">
        <v>79</v>
      </c>
      <c r="G25" s="5"/>
      <c r="H25" s="5"/>
    </row>
    <row r="26" spans="1:8" ht="30" customHeight="1" x14ac:dyDescent="0.35">
      <c r="A26" s="6" t="s">
        <v>620</v>
      </c>
      <c r="B26" s="6" t="s">
        <v>617</v>
      </c>
      <c r="C26" s="6" t="s">
        <v>621</v>
      </c>
      <c r="D26" s="7" t="s">
        <v>569</v>
      </c>
      <c r="E26" s="6" t="s">
        <v>622</v>
      </c>
      <c r="F26" s="6" t="s">
        <v>76</v>
      </c>
      <c r="G26" s="6"/>
      <c r="H26" s="6"/>
    </row>
    <row r="27" spans="1:8" ht="30" customHeight="1" x14ac:dyDescent="0.35">
      <c r="A27" s="5" t="s">
        <v>623</v>
      </c>
      <c r="B27" s="5" t="s">
        <v>617</v>
      </c>
      <c r="C27" s="5" t="s">
        <v>624</v>
      </c>
      <c r="D27" s="8" t="s">
        <v>568</v>
      </c>
      <c r="E27" s="5" t="s">
        <v>625</v>
      </c>
      <c r="F27" s="5" t="s">
        <v>444</v>
      </c>
      <c r="G27" s="5"/>
      <c r="H27" s="5"/>
    </row>
    <row r="28" spans="1:8" ht="30" customHeight="1" x14ac:dyDescent="0.35">
      <c r="A28" s="6" t="s">
        <v>626</v>
      </c>
      <c r="B28" s="6" t="s">
        <v>617</v>
      </c>
      <c r="C28" s="6" t="s">
        <v>627</v>
      </c>
      <c r="D28" s="7" t="s">
        <v>568</v>
      </c>
      <c r="E28" s="6" t="s">
        <v>628</v>
      </c>
      <c r="F28" s="6" t="s">
        <v>587</v>
      </c>
      <c r="G28" s="6"/>
      <c r="H28" s="6"/>
    </row>
    <row r="29" spans="1:8" ht="30" customHeight="1" x14ac:dyDescent="0.35">
      <c r="A29" s="5" t="s">
        <v>629</v>
      </c>
      <c r="B29" s="5" t="s">
        <v>630</v>
      </c>
      <c r="C29" s="5" t="s">
        <v>631</v>
      </c>
      <c r="D29" s="8" t="s">
        <v>569</v>
      </c>
      <c r="E29" s="5" t="s">
        <v>632</v>
      </c>
      <c r="F29" s="5" t="s">
        <v>593</v>
      </c>
      <c r="G29" s="5"/>
      <c r="H29" s="5"/>
    </row>
    <row r="30" spans="1:8" ht="30" customHeight="1" x14ac:dyDescent="0.35">
      <c r="A30" s="6" t="s">
        <v>633</v>
      </c>
      <c r="B30" s="6" t="s">
        <v>634</v>
      </c>
      <c r="C30" s="6" t="s">
        <v>635</v>
      </c>
      <c r="D30" s="7" t="s">
        <v>569</v>
      </c>
      <c r="E30" s="6" t="s">
        <v>636</v>
      </c>
      <c r="F30" s="6" t="s">
        <v>593</v>
      </c>
      <c r="G30" s="6"/>
      <c r="H30" s="6"/>
    </row>
    <row r="31" spans="1:8" ht="30" customHeight="1" x14ac:dyDescent="0.35">
      <c r="A31" s="5" t="s">
        <v>637</v>
      </c>
      <c r="B31" s="5" t="s">
        <v>577</v>
      </c>
      <c r="C31" s="5" t="s">
        <v>638</v>
      </c>
      <c r="D31" s="8" t="s">
        <v>569</v>
      </c>
      <c r="E31" s="5" t="s">
        <v>639</v>
      </c>
      <c r="F31" s="5" t="s">
        <v>582</v>
      </c>
      <c r="G31" s="5"/>
      <c r="H31" s="5"/>
    </row>
    <row r="32" spans="1:8" ht="30" customHeight="1" x14ac:dyDescent="0.35">
      <c r="A32" s="6" t="s">
        <v>640</v>
      </c>
      <c r="B32" s="6" t="s">
        <v>641</v>
      </c>
      <c r="C32" s="6" t="s">
        <v>642</v>
      </c>
      <c r="D32" s="7" t="s">
        <v>643</v>
      </c>
      <c r="E32" s="6" t="s">
        <v>644</v>
      </c>
      <c r="F32" s="6" t="s">
        <v>587</v>
      </c>
      <c r="G32" s="6"/>
      <c r="H32" s="6"/>
    </row>
    <row r="34" spans="1:8" ht="22" customHeight="1" x14ac:dyDescent="0.35">
      <c r="A34" s="122" t="s">
        <v>645</v>
      </c>
      <c r="B34" s="120"/>
      <c r="C34" s="120"/>
      <c r="D34" s="120"/>
      <c r="E34" s="120"/>
      <c r="F34" s="120"/>
      <c r="G34" s="120"/>
      <c r="H34" s="120"/>
    </row>
    <row r="35" spans="1:8" ht="30" customHeight="1" x14ac:dyDescent="0.35">
      <c r="A35" s="4" t="s">
        <v>646</v>
      </c>
      <c r="B35" s="4" t="s">
        <v>647</v>
      </c>
      <c r="C35" s="4" t="s">
        <v>648</v>
      </c>
      <c r="D35" s="4" t="s">
        <v>60</v>
      </c>
      <c r="E35" s="4" t="s">
        <v>649</v>
      </c>
      <c r="F35" s="4" t="s">
        <v>650</v>
      </c>
      <c r="G35" s="4"/>
      <c r="H35" s="4"/>
    </row>
    <row r="36" spans="1:8" ht="26" x14ac:dyDescent="0.35">
      <c r="A36" s="6" t="s">
        <v>651</v>
      </c>
      <c r="B36" s="6" t="s">
        <v>652</v>
      </c>
      <c r="C36" s="6" t="s">
        <v>653</v>
      </c>
      <c r="D36" s="6" t="s">
        <v>79</v>
      </c>
      <c r="E36" s="6" t="s">
        <v>654</v>
      </c>
      <c r="F36" s="6" t="s">
        <v>655</v>
      </c>
      <c r="G36" s="6"/>
      <c r="H36" s="6"/>
    </row>
    <row r="37" spans="1:8" ht="26" x14ac:dyDescent="0.35">
      <c r="A37" s="5" t="s">
        <v>656</v>
      </c>
      <c r="B37" s="5" t="s">
        <v>657</v>
      </c>
      <c r="C37" s="5" t="s">
        <v>658</v>
      </c>
      <c r="D37" s="5" t="s">
        <v>659</v>
      </c>
      <c r="E37" s="5" t="s">
        <v>660</v>
      </c>
      <c r="F37" s="5" t="s">
        <v>460</v>
      </c>
      <c r="G37" s="5"/>
      <c r="H37" s="5"/>
    </row>
    <row r="38" spans="1:8" ht="26" x14ac:dyDescent="0.35">
      <c r="A38" s="6" t="s">
        <v>661</v>
      </c>
      <c r="B38" s="6" t="s">
        <v>662</v>
      </c>
      <c r="C38" s="6" t="s">
        <v>663</v>
      </c>
      <c r="D38" s="6" t="s">
        <v>79</v>
      </c>
      <c r="E38" s="6" t="s">
        <v>664</v>
      </c>
      <c r="F38" s="6" t="s">
        <v>665</v>
      </c>
      <c r="G38" s="6"/>
      <c r="H38" s="6"/>
    </row>
    <row r="39" spans="1:8" ht="26" x14ac:dyDescent="0.35">
      <c r="A39" s="5" t="s">
        <v>577</v>
      </c>
      <c r="B39" s="5" t="s">
        <v>666</v>
      </c>
      <c r="C39" s="5" t="s">
        <v>667</v>
      </c>
      <c r="D39" s="5" t="s">
        <v>582</v>
      </c>
      <c r="E39" s="5" t="s">
        <v>664</v>
      </c>
      <c r="F39" s="5" t="s">
        <v>668</v>
      </c>
      <c r="G39" s="5"/>
      <c r="H39" s="5"/>
    </row>
    <row r="40" spans="1:8" ht="26" x14ac:dyDescent="0.35">
      <c r="A40" s="6" t="s">
        <v>588</v>
      </c>
      <c r="B40" s="6" t="s">
        <v>669</v>
      </c>
      <c r="C40" s="6" t="s">
        <v>670</v>
      </c>
      <c r="D40" s="6" t="s">
        <v>593</v>
      </c>
      <c r="E40" s="6" t="s">
        <v>671</v>
      </c>
      <c r="F40" s="6" t="s">
        <v>668</v>
      </c>
      <c r="G40" s="6"/>
      <c r="H40" s="6"/>
    </row>
    <row r="41" spans="1:8" x14ac:dyDescent="0.35">
      <c r="A41" s="5" t="s">
        <v>606</v>
      </c>
      <c r="B41" s="5" t="s">
        <v>672</v>
      </c>
      <c r="C41" s="5" t="s">
        <v>673</v>
      </c>
      <c r="D41" s="5" t="s">
        <v>76</v>
      </c>
      <c r="E41" s="5" t="s">
        <v>454</v>
      </c>
      <c r="F41" s="5" t="s">
        <v>674</v>
      </c>
      <c r="G41" s="5"/>
      <c r="H41" s="5"/>
    </row>
    <row r="42" spans="1:8" x14ac:dyDescent="0.35">
      <c r="A42" s="6" t="s">
        <v>598</v>
      </c>
      <c r="B42" s="6" t="s">
        <v>675</v>
      </c>
      <c r="C42" s="6" t="s">
        <v>676</v>
      </c>
      <c r="D42" s="6" t="s">
        <v>444</v>
      </c>
      <c r="E42" s="6" t="s">
        <v>677</v>
      </c>
      <c r="F42" s="6" t="s">
        <v>678</v>
      </c>
      <c r="G42" s="6"/>
      <c r="H42" s="6"/>
    </row>
    <row r="43" spans="1:8" ht="26" x14ac:dyDescent="0.35">
      <c r="A43" s="5" t="s">
        <v>679</v>
      </c>
      <c r="B43" s="5" t="s">
        <v>680</v>
      </c>
      <c r="C43" s="5" t="s">
        <v>681</v>
      </c>
      <c r="D43" s="5" t="s">
        <v>79</v>
      </c>
      <c r="E43" s="5" t="s">
        <v>682</v>
      </c>
      <c r="F43" s="5" t="s">
        <v>668</v>
      </c>
      <c r="G43" s="5"/>
      <c r="H43" s="5"/>
    </row>
    <row r="45" spans="1:8" ht="22" customHeight="1" x14ac:dyDescent="0.35">
      <c r="A45" s="122" t="s">
        <v>683</v>
      </c>
      <c r="B45" s="120"/>
      <c r="C45" s="120"/>
      <c r="D45" s="120"/>
      <c r="E45" s="120"/>
      <c r="F45" s="120"/>
      <c r="G45" s="120"/>
      <c r="H45" s="120"/>
    </row>
    <row r="46" spans="1:8" ht="30" customHeight="1" x14ac:dyDescent="0.35">
      <c r="A46" s="4" t="s">
        <v>646</v>
      </c>
      <c r="B46" s="4" t="s">
        <v>684</v>
      </c>
      <c r="C46" s="4" t="s">
        <v>685</v>
      </c>
      <c r="D46" s="4" t="s">
        <v>60</v>
      </c>
      <c r="E46" s="4" t="s">
        <v>649</v>
      </c>
      <c r="F46" s="4" t="s">
        <v>686</v>
      </c>
      <c r="G46" s="4"/>
      <c r="H46" s="4"/>
    </row>
    <row r="47" spans="1:8" ht="26" x14ac:dyDescent="0.35">
      <c r="A47" s="5" t="s">
        <v>617</v>
      </c>
      <c r="B47" s="5" t="s">
        <v>687</v>
      </c>
      <c r="C47" s="5" t="s">
        <v>688</v>
      </c>
      <c r="D47" s="5" t="s">
        <v>79</v>
      </c>
      <c r="E47" s="5" t="s">
        <v>689</v>
      </c>
      <c r="F47" s="5" t="s">
        <v>690</v>
      </c>
      <c r="G47" s="5"/>
      <c r="H47" s="5"/>
    </row>
    <row r="48" spans="1:8" ht="26" x14ac:dyDescent="0.35">
      <c r="A48" s="6" t="s">
        <v>661</v>
      </c>
      <c r="B48" s="6" t="s">
        <v>691</v>
      </c>
      <c r="C48" s="6" t="s">
        <v>692</v>
      </c>
      <c r="D48" s="6" t="s">
        <v>79</v>
      </c>
      <c r="E48" s="6" t="s">
        <v>664</v>
      </c>
      <c r="F48" s="6" t="s">
        <v>693</v>
      </c>
      <c r="G48" s="6"/>
      <c r="H48" s="6"/>
    </row>
    <row r="49" spans="1:8" ht="26" x14ac:dyDescent="0.35">
      <c r="A49" s="5" t="s">
        <v>588</v>
      </c>
      <c r="B49" s="5" t="s">
        <v>694</v>
      </c>
      <c r="C49" s="5" t="s">
        <v>695</v>
      </c>
      <c r="D49" s="5" t="s">
        <v>593</v>
      </c>
      <c r="E49" s="5" t="s">
        <v>671</v>
      </c>
      <c r="F49" s="5" t="s">
        <v>696</v>
      </c>
      <c r="G49" s="5"/>
      <c r="H49" s="5"/>
    </row>
    <row r="50" spans="1:8" ht="26" x14ac:dyDescent="0.35">
      <c r="A50" s="6" t="s">
        <v>577</v>
      </c>
      <c r="B50" s="6" t="s">
        <v>697</v>
      </c>
      <c r="C50" s="6" t="s">
        <v>698</v>
      </c>
      <c r="D50" s="6" t="s">
        <v>582</v>
      </c>
      <c r="E50" s="6" t="s">
        <v>664</v>
      </c>
      <c r="F50" s="6" t="s">
        <v>699</v>
      </c>
      <c r="G50" s="6"/>
      <c r="H50" s="6"/>
    </row>
    <row r="51" spans="1:8" ht="26" x14ac:dyDescent="0.35">
      <c r="A51" s="5" t="s">
        <v>700</v>
      </c>
      <c r="B51" s="5" t="s">
        <v>701</v>
      </c>
      <c r="C51" s="5" t="s">
        <v>692</v>
      </c>
      <c r="D51" s="5" t="s">
        <v>659</v>
      </c>
      <c r="E51" s="5" t="s">
        <v>671</v>
      </c>
      <c r="F51" s="5" t="s">
        <v>699</v>
      </c>
      <c r="G51" s="5"/>
      <c r="H51" s="5"/>
    </row>
    <row r="52" spans="1:8" ht="26" x14ac:dyDescent="0.35">
      <c r="A52" s="6" t="s">
        <v>702</v>
      </c>
      <c r="B52" s="6" t="s">
        <v>703</v>
      </c>
      <c r="C52" s="6" t="s">
        <v>704</v>
      </c>
      <c r="D52" s="6" t="s">
        <v>76</v>
      </c>
      <c r="E52" s="6" t="s">
        <v>705</v>
      </c>
      <c r="F52" s="6" t="s">
        <v>706</v>
      </c>
      <c r="G52" s="6"/>
      <c r="H52" s="6"/>
    </row>
    <row r="54" spans="1:8" ht="22" customHeight="1" x14ac:dyDescent="0.35">
      <c r="A54" s="122" t="s">
        <v>707</v>
      </c>
      <c r="B54" s="120"/>
      <c r="C54" s="120"/>
      <c r="D54" s="120"/>
      <c r="E54" s="120"/>
      <c r="F54" s="120"/>
      <c r="G54" s="120"/>
      <c r="H54" s="120"/>
    </row>
    <row r="55" spans="1:8" ht="30" customHeight="1" x14ac:dyDescent="0.35">
      <c r="A55" s="4" t="s">
        <v>708</v>
      </c>
      <c r="B55" s="4" t="s">
        <v>709</v>
      </c>
      <c r="C55" s="4" t="s">
        <v>710</v>
      </c>
      <c r="D55" s="4" t="s">
        <v>711</v>
      </c>
      <c r="E55" s="4" t="s">
        <v>60</v>
      </c>
      <c r="F55" s="4" t="s">
        <v>26</v>
      </c>
      <c r="G55" s="4"/>
      <c r="H55" s="4"/>
    </row>
    <row r="56" spans="1:8" ht="26" x14ac:dyDescent="0.35">
      <c r="A56" s="6" t="s">
        <v>712</v>
      </c>
      <c r="B56" s="6" t="s">
        <v>713</v>
      </c>
      <c r="C56" s="6" t="s">
        <v>714</v>
      </c>
      <c r="D56" s="6" t="s">
        <v>715</v>
      </c>
      <c r="E56" s="6" t="s">
        <v>79</v>
      </c>
      <c r="F56" s="7" t="s">
        <v>324</v>
      </c>
      <c r="G56" s="6"/>
      <c r="H56" s="6"/>
    </row>
    <row r="57" spans="1:8" ht="26" x14ac:dyDescent="0.35">
      <c r="A57" s="5" t="s">
        <v>716</v>
      </c>
      <c r="B57" s="5" t="s">
        <v>717</v>
      </c>
      <c r="C57" s="5" t="s">
        <v>718</v>
      </c>
      <c r="D57" s="5" t="s">
        <v>719</v>
      </c>
      <c r="E57" s="5" t="s">
        <v>79</v>
      </c>
      <c r="F57" s="8" t="s">
        <v>324</v>
      </c>
      <c r="G57" s="5"/>
      <c r="H57" s="5"/>
    </row>
    <row r="58" spans="1:8" x14ac:dyDescent="0.35">
      <c r="A58" s="6" t="s">
        <v>720</v>
      </c>
      <c r="B58" s="6" t="s">
        <v>721</v>
      </c>
      <c r="C58" s="6" t="s">
        <v>722</v>
      </c>
      <c r="D58" s="6" t="s">
        <v>723</v>
      </c>
      <c r="E58" s="6" t="s">
        <v>79</v>
      </c>
      <c r="F58" s="7" t="s">
        <v>324</v>
      </c>
      <c r="G58" s="6"/>
      <c r="H58" s="6"/>
    </row>
    <row r="59" spans="1:8" ht="26" x14ac:dyDescent="0.35">
      <c r="A59" s="5" t="s">
        <v>724</v>
      </c>
      <c r="B59" s="5" t="s">
        <v>725</v>
      </c>
      <c r="C59" s="5" t="s">
        <v>726</v>
      </c>
      <c r="D59" s="5" t="s">
        <v>727</v>
      </c>
      <c r="E59" s="5" t="s">
        <v>728</v>
      </c>
      <c r="F59" s="8" t="s">
        <v>324</v>
      </c>
      <c r="G59" s="5"/>
      <c r="H59" s="5"/>
    </row>
    <row r="60" spans="1:8" ht="26" x14ac:dyDescent="0.35">
      <c r="A60" s="6" t="s">
        <v>729</v>
      </c>
      <c r="B60" s="6" t="s">
        <v>730</v>
      </c>
      <c r="C60" s="6" t="s">
        <v>731</v>
      </c>
      <c r="D60" s="6" t="s">
        <v>732</v>
      </c>
      <c r="E60" s="6" t="s">
        <v>587</v>
      </c>
      <c r="F60" s="7" t="s">
        <v>324</v>
      </c>
      <c r="G60" s="6"/>
      <c r="H60" s="6"/>
    </row>
    <row r="62" spans="1:8" ht="22" customHeight="1" x14ac:dyDescent="0.35">
      <c r="A62" s="122" t="s">
        <v>733</v>
      </c>
      <c r="B62" s="120"/>
      <c r="C62" s="120"/>
      <c r="D62" s="120"/>
      <c r="E62" s="120"/>
      <c r="F62" s="120"/>
      <c r="G62" s="120"/>
      <c r="H62" s="120"/>
    </row>
    <row r="63" spans="1:8" ht="30" customHeight="1" x14ac:dyDescent="0.35">
      <c r="A63" s="4" t="s">
        <v>734</v>
      </c>
      <c r="B63" s="4" t="s">
        <v>735</v>
      </c>
      <c r="C63" s="4" t="s">
        <v>736</v>
      </c>
      <c r="D63" s="4" t="s">
        <v>737</v>
      </c>
      <c r="E63" s="4" t="s">
        <v>738</v>
      </c>
      <c r="F63" s="4" t="s">
        <v>60</v>
      </c>
      <c r="G63" s="4" t="s">
        <v>650</v>
      </c>
      <c r="H63" s="4"/>
    </row>
    <row r="64" spans="1:8" x14ac:dyDescent="0.35">
      <c r="A64" s="7" t="s">
        <v>739</v>
      </c>
      <c r="B64" s="6" t="s">
        <v>740</v>
      </c>
      <c r="C64" s="6" t="s">
        <v>741</v>
      </c>
      <c r="D64" s="7" t="s">
        <v>742</v>
      </c>
      <c r="E64" s="7" t="s">
        <v>743</v>
      </c>
      <c r="F64" s="6" t="s">
        <v>79</v>
      </c>
      <c r="G64" s="6" t="s">
        <v>744</v>
      </c>
      <c r="H64" s="6"/>
    </row>
    <row r="65" spans="1:8" x14ac:dyDescent="0.35">
      <c r="A65" s="8" t="s">
        <v>745</v>
      </c>
      <c r="B65" s="5" t="s">
        <v>715</v>
      </c>
      <c r="C65" s="5" t="s">
        <v>746</v>
      </c>
      <c r="D65" s="8" t="s">
        <v>747</v>
      </c>
      <c r="E65" s="8" t="s">
        <v>743</v>
      </c>
      <c r="F65" s="5" t="s">
        <v>79</v>
      </c>
      <c r="G65" s="5" t="s">
        <v>748</v>
      </c>
      <c r="H65" s="5"/>
    </row>
    <row r="66" spans="1:8" x14ac:dyDescent="0.35">
      <c r="A66" s="7" t="s">
        <v>749</v>
      </c>
      <c r="B66" s="6" t="s">
        <v>750</v>
      </c>
      <c r="C66" s="6" t="s">
        <v>751</v>
      </c>
      <c r="D66" s="7" t="s">
        <v>747</v>
      </c>
      <c r="E66" s="7" t="s">
        <v>752</v>
      </c>
      <c r="F66" s="6" t="s">
        <v>79</v>
      </c>
      <c r="G66" s="6" t="s">
        <v>753</v>
      </c>
      <c r="H66" s="6"/>
    </row>
    <row r="67" spans="1:8" ht="26" x14ac:dyDescent="0.35">
      <c r="A67" s="8" t="s">
        <v>754</v>
      </c>
      <c r="B67" s="5" t="s">
        <v>755</v>
      </c>
      <c r="C67" s="5" t="s">
        <v>756</v>
      </c>
      <c r="D67" s="8" t="s">
        <v>747</v>
      </c>
      <c r="E67" s="8" t="s">
        <v>743</v>
      </c>
      <c r="F67" s="5" t="s">
        <v>79</v>
      </c>
      <c r="G67" s="5" t="s">
        <v>671</v>
      </c>
      <c r="H67" s="5"/>
    </row>
    <row r="68" spans="1:8" ht="26" x14ac:dyDescent="0.35">
      <c r="A68" s="7" t="s">
        <v>757</v>
      </c>
      <c r="B68" s="6" t="s">
        <v>758</v>
      </c>
      <c r="C68" s="6" t="s">
        <v>759</v>
      </c>
      <c r="D68" s="7" t="s">
        <v>742</v>
      </c>
      <c r="E68" s="7" t="s">
        <v>760</v>
      </c>
      <c r="F68" s="6" t="s">
        <v>79</v>
      </c>
      <c r="G68" s="6" t="s">
        <v>460</v>
      </c>
      <c r="H68" s="6"/>
    </row>
  </sheetData>
  <mergeCells count="19">
    <mergeCell ref="A62:H62"/>
    <mergeCell ref="C5:H5"/>
    <mergeCell ref="A9:B9"/>
    <mergeCell ref="A34:H34"/>
    <mergeCell ref="A54:H54"/>
    <mergeCell ref="C8:H8"/>
    <mergeCell ref="C7:H7"/>
    <mergeCell ref="A2:H2"/>
    <mergeCell ref="A5:B5"/>
    <mergeCell ref="A23:H23"/>
    <mergeCell ref="A8:B8"/>
    <mergeCell ref="A4:H4"/>
    <mergeCell ref="C6:H6"/>
    <mergeCell ref="C9:H9"/>
    <mergeCell ref="A11:H11"/>
    <mergeCell ref="A45:H45"/>
    <mergeCell ref="A1:H1"/>
    <mergeCell ref="A6:B6"/>
    <mergeCell ref="A7:B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2"/>
  <sheetViews>
    <sheetView showGridLines="0" workbookViewId="0">
      <selection sqref="A1:I1"/>
    </sheetView>
  </sheetViews>
  <sheetFormatPr defaultRowHeight="14.5" x14ac:dyDescent="0.35"/>
  <cols>
    <col min="1" max="1" width="8" customWidth="1"/>
    <col min="2" max="2" width="42" customWidth="1"/>
    <col min="3" max="3" width="18" customWidth="1"/>
    <col min="4" max="4" width="30" customWidth="1"/>
    <col min="5" max="5" width="16" customWidth="1"/>
    <col min="6" max="6" width="18" customWidth="1"/>
    <col min="7" max="7" width="30" customWidth="1"/>
    <col min="8" max="8" width="22" customWidth="1"/>
    <col min="9" max="9" width="20" customWidth="1"/>
  </cols>
  <sheetData>
    <row r="1" spans="1:9" ht="30" customHeight="1" x14ac:dyDescent="0.35">
      <c r="A1" s="119" t="s">
        <v>761</v>
      </c>
      <c r="B1" s="120"/>
      <c r="C1" s="120"/>
      <c r="D1" s="120"/>
      <c r="E1" s="120"/>
      <c r="F1" s="120"/>
      <c r="G1" s="120"/>
      <c r="H1" s="120"/>
      <c r="I1" s="120"/>
    </row>
    <row r="2" spans="1:9" ht="18" customHeight="1" x14ac:dyDescent="0.35">
      <c r="A2" s="125" t="s">
        <v>762</v>
      </c>
      <c r="B2" s="120"/>
      <c r="C2" s="120"/>
      <c r="D2" s="120"/>
      <c r="E2" s="120"/>
      <c r="F2" s="120"/>
      <c r="G2" s="120"/>
      <c r="H2" s="120"/>
      <c r="I2" s="120"/>
    </row>
    <row r="4" spans="1:9" ht="22" customHeight="1" x14ac:dyDescent="0.35">
      <c r="A4" s="122" t="s">
        <v>763</v>
      </c>
      <c r="B4" s="120"/>
      <c r="C4" s="120"/>
      <c r="D4" s="120"/>
      <c r="E4" s="120"/>
      <c r="F4" s="120"/>
      <c r="G4" s="120"/>
      <c r="H4" s="120"/>
      <c r="I4" s="120"/>
    </row>
    <row r="5" spans="1:9" ht="30" customHeight="1" x14ac:dyDescent="0.35">
      <c r="A5" s="134" t="s">
        <v>764</v>
      </c>
      <c r="B5" s="120"/>
      <c r="C5" s="133" t="s">
        <v>765</v>
      </c>
      <c r="D5" s="127"/>
      <c r="E5" s="127"/>
      <c r="F5" s="127"/>
      <c r="G5" s="127"/>
      <c r="H5" s="127"/>
      <c r="I5" s="128"/>
    </row>
    <row r="6" spans="1:9" ht="30" customHeight="1" x14ac:dyDescent="0.35">
      <c r="A6" s="134" t="s">
        <v>766</v>
      </c>
      <c r="B6" s="120"/>
      <c r="C6" s="133" t="s">
        <v>767</v>
      </c>
      <c r="D6" s="127"/>
      <c r="E6" s="127"/>
      <c r="F6" s="127"/>
      <c r="G6" s="127"/>
      <c r="H6" s="127"/>
      <c r="I6" s="128"/>
    </row>
    <row r="7" spans="1:9" ht="30" customHeight="1" x14ac:dyDescent="0.35">
      <c r="A7" s="134" t="s">
        <v>768</v>
      </c>
      <c r="B7" s="120"/>
      <c r="C7" s="133" t="s">
        <v>769</v>
      </c>
      <c r="D7" s="127"/>
      <c r="E7" s="127"/>
      <c r="F7" s="127"/>
      <c r="G7" s="127"/>
      <c r="H7" s="127"/>
      <c r="I7" s="128"/>
    </row>
    <row r="8" spans="1:9" ht="30" customHeight="1" x14ac:dyDescent="0.35">
      <c r="A8" s="134" t="s">
        <v>770</v>
      </c>
      <c r="B8" s="120"/>
      <c r="C8" s="133" t="s">
        <v>771</v>
      </c>
      <c r="D8" s="127"/>
      <c r="E8" s="127"/>
      <c r="F8" s="127"/>
      <c r="G8" s="127"/>
      <c r="H8" s="127"/>
      <c r="I8" s="128"/>
    </row>
    <row r="9" spans="1:9" ht="30" customHeight="1" x14ac:dyDescent="0.35">
      <c r="A9" s="134" t="s">
        <v>772</v>
      </c>
      <c r="B9" s="120"/>
      <c r="C9" s="133" t="s">
        <v>773</v>
      </c>
      <c r="D9" s="127"/>
      <c r="E9" s="127"/>
      <c r="F9" s="127"/>
      <c r="G9" s="127"/>
      <c r="H9" s="127"/>
      <c r="I9" s="128"/>
    </row>
    <row r="11" spans="1:9" ht="22" customHeight="1" x14ac:dyDescent="0.35">
      <c r="A11" s="122" t="s">
        <v>774</v>
      </c>
      <c r="B11" s="120"/>
      <c r="C11" s="120"/>
      <c r="D11" s="120"/>
      <c r="E11" s="120"/>
      <c r="F11" s="120"/>
      <c r="G11" s="120"/>
      <c r="H11" s="120"/>
      <c r="I11" s="120"/>
    </row>
    <row r="12" spans="1:9" ht="30" customHeight="1" x14ac:dyDescent="0.35">
      <c r="A12" s="4" t="s">
        <v>263</v>
      </c>
      <c r="B12" s="4" t="s">
        <v>775</v>
      </c>
      <c r="C12" s="4" t="s">
        <v>265</v>
      </c>
      <c r="D12" s="4" t="s">
        <v>776</v>
      </c>
      <c r="E12" s="4" t="s">
        <v>737</v>
      </c>
      <c r="F12" s="4" t="s">
        <v>738</v>
      </c>
      <c r="G12" s="4" t="s">
        <v>777</v>
      </c>
      <c r="H12" s="4" t="s">
        <v>60</v>
      </c>
      <c r="I12" s="4" t="s">
        <v>778</v>
      </c>
    </row>
    <row r="13" spans="1:9" ht="30" customHeight="1" x14ac:dyDescent="0.35">
      <c r="A13" s="8" t="s">
        <v>779</v>
      </c>
      <c r="B13" s="5" t="s">
        <v>780</v>
      </c>
      <c r="C13" s="5" t="s">
        <v>781</v>
      </c>
      <c r="D13" s="5" t="s">
        <v>782</v>
      </c>
      <c r="E13" s="8" t="s">
        <v>742</v>
      </c>
      <c r="F13" s="8" t="s">
        <v>783</v>
      </c>
      <c r="G13" s="5" t="s">
        <v>784</v>
      </c>
      <c r="H13" s="5" t="s">
        <v>728</v>
      </c>
      <c r="I13" s="5" t="s">
        <v>785</v>
      </c>
    </row>
    <row r="14" spans="1:9" ht="30" customHeight="1" x14ac:dyDescent="0.35">
      <c r="A14" s="7" t="s">
        <v>786</v>
      </c>
      <c r="B14" s="6" t="s">
        <v>787</v>
      </c>
      <c r="C14" s="6" t="s">
        <v>788</v>
      </c>
      <c r="D14" s="6" t="s">
        <v>732</v>
      </c>
      <c r="E14" s="7" t="s">
        <v>742</v>
      </c>
      <c r="F14" s="7" t="s">
        <v>789</v>
      </c>
      <c r="G14" s="6" t="s">
        <v>790</v>
      </c>
      <c r="H14" s="6" t="s">
        <v>76</v>
      </c>
      <c r="I14" s="6" t="s">
        <v>791</v>
      </c>
    </row>
    <row r="15" spans="1:9" ht="30" customHeight="1" x14ac:dyDescent="0.35">
      <c r="A15" s="8" t="s">
        <v>792</v>
      </c>
      <c r="B15" s="5" t="s">
        <v>793</v>
      </c>
      <c r="C15" s="5" t="s">
        <v>794</v>
      </c>
      <c r="D15" s="5" t="s">
        <v>795</v>
      </c>
      <c r="E15" s="8" t="s">
        <v>742</v>
      </c>
      <c r="F15" s="8" t="s">
        <v>796</v>
      </c>
      <c r="G15" s="5" t="s">
        <v>797</v>
      </c>
      <c r="H15" s="5" t="s">
        <v>582</v>
      </c>
      <c r="I15" s="5" t="s">
        <v>798</v>
      </c>
    </row>
    <row r="16" spans="1:9" ht="30" customHeight="1" x14ac:dyDescent="0.35">
      <c r="A16" s="7" t="s">
        <v>799</v>
      </c>
      <c r="B16" s="6" t="s">
        <v>800</v>
      </c>
      <c r="C16" s="6" t="s">
        <v>801</v>
      </c>
      <c r="D16" s="6" t="s">
        <v>802</v>
      </c>
      <c r="E16" s="7" t="s">
        <v>742</v>
      </c>
      <c r="F16" s="7" t="s">
        <v>803</v>
      </c>
      <c r="G16" s="6" t="s">
        <v>804</v>
      </c>
      <c r="H16" s="6" t="s">
        <v>593</v>
      </c>
      <c r="I16" s="6" t="s">
        <v>805</v>
      </c>
    </row>
    <row r="17" spans="1:9" ht="30" customHeight="1" x14ac:dyDescent="0.35">
      <c r="A17" s="8" t="s">
        <v>806</v>
      </c>
      <c r="B17" s="5" t="s">
        <v>807</v>
      </c>
      <c r="C17" s="5" t="s">
        <v>808</v>
      </c>
      <c r="D17" s="5" t="s">
        <v>809</v>
      </c>
      <c r="E17" s="8" t="s">
        <v>742</v>
      </c>
      <c r="F17" s="8" t="s">
        <v>810</v>
      </c>
      <c r="G17" s="5" t="s">
        <v>811</v>
      </c>
      <c r="H17" s="5" t="s">
        <v>812</v>
      </c>
      <c r="I17" s="5" t="s">
        <v>813</v>
      </c>
    </row>
    <row r="18" spans="1:9" ht="30" customHeight="1" x14ac:dyDescent="0.35">
      <c r="A18" s="7" t="s">
        <v>814</v>
      </c>
      <c r="B18" s="6" t="s">
        <v>815</v>
      </c>
      <c r="C18" s="6" t="s">
        <v>816</v>
      </c>
      <c r="D18" s="6" t="s">
        <v>817</v>
      </c>
      <c r="E18" s="7" t="s">
        <v>818</v>
      </c>
      <c r="F18" s="7" t="s">
        <v>819</v>
      </c>
      <c r="G18" s="6" t="s">
        <v>820</v>
      </c>
      <c r="H18" s="6" t="s">
        <v>452</v>
      </c>
      <c r="I18" s="6" t="s">
        <v>813</v>
      </c>
    </row>
    <row r="19" spans="1:9" ht="30" customHeight="1" x14ac:dyDescent="0.35">
      <c r="A19" s="8" t="s">
        <v>821</v>
      </c>
      <c r="B19" s="5" t="s">
        <v>822</v>
      </c>
      <c r="C19" s="5" t="s">
        <v>823</v>
      </c>
      <c r="D19" s="5" t="s">
        <v>824</v>
      </c>
      <c r="E19" s="8" t="s">
        <v>825</v>
      </c>
      <c r="F19" s="8" t="s">
        <v>826</v>
      </c>
      <c r="G19" s="5" t="s">
        <v>827</v>
      </c>
      <c r="H19" s="5" t="s">
        <v>436</v>
      </c>
      <c r="I19" s="5" t="s">
        <v>813</v>
      </c>
    </row>
    <row r="20" spans="1:9" ht="30" customHeight="1" x14ac:dyDescent="0.35">
      <c r="A20" s="7" t="s">
        <v>828</v>
      </c>
      <c r="B20" s="6" t="s">
        <v>829</v>
      </c>
      <c r="C20" s="6" t="s">
        <v>830</v>
      </c>
      <c r="D20" s="6" t="s">
        <v>831</v>
      </c>
      <c r="E20" s="7" t="s">
        <v>204</v>
      </c>
      <c r="F20" s="7" t="s">
        <v>832</v>
      </c>
      <c r="G20" s="6" t="s">
        <v>833</v>
      </c>
      <c r="H20" s="6" t="s">
        <v>834</v>
      </c>
      <c r="I20" s="6" t="s">
        <v>813</v>
      </c>
    </row>
    <row r="21" spans="1:9" ht="30" customHeight="1" x14ac:dyDescent="0.35">
      <c r="A21" s="8" t="s">
        <v>835</v>
      </c>
      <c r="B21" s="5" t="s">
        <v>836</v>
      </c>
      <c r="C21" s="5" t="s">
        <v>837</v>
      </c>
      <c r="D21" s="5" t="s">
        <v>838</v>
      </c>
      <c r="E21" s="8" t="s">
        <v>839</v>
      </c>
      <c r="F21" s="8" t="s">
        <v>752</v>
      </c>
      <c r="G21" s="5" t="s">
        <v>840</v>
      </c>
      <c r="H21" s="5" t="s">
        <v>76</v>
      </c>
      <c r="I21" s="5" t="s">
        <v>805</v>
      </c>
    </row>
    <row r="22" spans="1:9" ht="30" customHeight="1" x14ac:dyDescent="0.35">
      <c r="A22" s="7" t="s">
        <v>841</v>
      </c>
      <c r="B22" s="6" t="s">
        <v>842</v>
      </c>
      <c r="C22" s="6" t="s">
        <v>830</v>
      </c>
      <c r="D22" s="6" t="s">
        <v>843</v>
      </c>
      <c r="E22" s="7" t="s">
        <v>844</v>
      </c>
      <c r="F22" s="7" t="s">
        <v>845</v>
      </c>
      <c r="G22" s="6" t="s">
        <v>102</v>
      </c>
      <c r="H22" s="6" t="s">
        <v>76</v>
      </c>
      <c r="I22" s="6" t="s">
        <v>846</v>
      </c>
    </row>
    <row r="23" spans="1:9" ht="30" customHeight="1" x14ac:dyDescent="0.35">
      <c r="A23" s="8" t="s">
        <v>847</v>
      </c>
      <c r="B23" s="5" t="s">
        <v>848</v>
      </c>
      <c r="C23" s="5" t="s">
        <v>830</v>
      </c>
      <c r="D23" s="5" t="s">
        <v>849</v>
      </c>
      <c r="E23" s="8" t="s">
        <v>204</v>
      </c>
      <c r="F23" s="8" t="s">
        <v>850</v>
      </c>
      <c r="G23" s="5" t="s">
        <v>851</v>
      </c>
      <c r="H23" s="5" t="s">
        <v>63</v>
      </c>
      <c r="I23" s="5" t="s">
        <v>846</v>
      </c>
    </row>
    <row r="25" spans="1:9" ht="22" customHeight="1" x14ac:dyDescent="0.35">
      <c r="A25" s="122" t="s">
        <v>852</v>
      </c>
      <c r="B25" s="120"/>
      <c r="C25" s="120"/>
      <c r="D25" s="120"/>
      <c r="E25" s="120"/>
      <c r="F25" s="120"/>
      <c r="G25" s="120"/>
      <c r="H25" s="120"/>
      <c r="I25" s="120"/>
    </row>
    <row r="26" spans="1:9" ht="30" customHeight="1" x14ac:dyDescent="0.35">
      <c r="A26" s="4" t="s">
        <v>853</v>
      </c>
      <c r="B26" s="4" t="s">
        <v>646</v>
      </c>
      <c r="C26" s="4" t="s">
        <v>854</v>
      </c>
      <c r="D26" s="4" t="s">
        <v>60</v>
      </c>
      <c r="E26" s="4" t="s">
        <v>649</v>
      </c>
      <c r="F26" s="4" t="s">
        <v>855</v>
      </c>
      <c r="G26" s="4"/>
      <c r="H26" s="4"/>
      <c r="I26" s="4"/>
    </row>
    <row r="27" spans="1:9" ht="39" x14ac:dyDescent="0.35">
      <c r="A27" s="5" t="s">
        <v>856</v>
      </c>
      <c r="B27" s="5" t="s">
        <v>606</v>
      </c>
      <c r="C27" s="5" t="s">
        <v>857</v>
      </c>
      <c r="D27" s="5" t="s">
        <v>73</v>
      </c>
      <c r="E27" s="5" t="s">
        <v>858</v>
      </c>
      <c r="F27" s="5" t="s">
        <v>859</v>
      </c>
      <c r="G27" s="5"/>
      <c r="H27" s="5"/>
      <c r="I27" s="5"/>
    </row>
    <row r="28" spans="1:9" ht="52" x14ac:dyDescent="0.35">
      <c r="A28" s="6" t="s">
        <v>860</v>
      </c>
      <c r="B28" s="6" t="s">
        <v>617</v>
      </c>
      <c r="C28" s="6" t="s">
        <v>861</v>
      </c>
      <c r="D28" s="6" t="s">
        <v>79</v>
      </c>
      <c r="E28" s="6" t="s">
        <v>862</v>
      </c>
      <c r="F28" s="6" t="s">
        <v>863</v>
      </c>
      <c r="G28" s="6"/>
      <c r="H28" s="6"/>
      <c r="I28" s="6"/>
    </row>
    <row r="29" spans="1:9" ht="52" x14ac:dyDescent="0.35">
      <c r="A29" s="5" t="s">
        <v>864</v>
      </c>
      <c r="B29" s="5" t="s">
        <v>656</v>
      </c>
      <c r="C29" s="5" t="s">
        <v>865</v>
      </c>
      <c r="D29" s="5" t="s">
        <v>76</v>
      </c>
      <c r="E29" s="5" t="s">
        <v>660</v>
      </c>
      <c r="F29" s="5" t="s">
        <v>866</v>
      </c>
      <c r="G29" s="5"/>
      <c r="H29" s="5"/>
      <c r="I29" s="5"/>
    </row>
    <row r="30" spans="1:9" ht="39" x14ac:dyDescent="0.35">
      <c r="A30" s="6" t="s">
        <v>867</v>
      </c>
      <c r="B30" s="6" t="s">
        <v>868</v>
      </c>
      <c r="C30" s="6" t="s">
        <v>869</v>
      </c>
      <c r="D30" s="6" t="s">
        <v>728</v>
      </c>
      <c r="E30" s="6" t="s">
        <v>660</v>
      </c>
      <c r="F30" s="6" t="s">
        <v>870</v>
      </c>
      <c r="G30" s="6"/>
      <c r="H30" s="6"/>
      <c r="I30" s="6"/>
    </row>
    <row r="31" spans="1:9" ht="39" x14ac:dyDescent="0.35">
      <c r="A31" s="5" t="s">
        <v>871</v>
      </c>
      <c r="B31" s="5" t="s">
        <v>872</v>
      </c>
      <c r="C31" s="5" t="s">
        <v>873</v>
      </c>
      <c r="D31" s="5" t="s">
        <v>79</v>
      </c>
      <c r="E31" s="5" t="s">
        <v>660</v>
      </c>
      <c r="F31" s="5" t="s">
        <v>874</v>
      </c>
      <c r="G31" s="5"/>
      <c r="H31" s="5"/>
      <c r="I31" s="5"/>
    </row>
    <row r="32" spans="1:9" ht="39" x14ac:dyDescent="0.35">
      <c r="A32" s="6" t="s">
        <v>875</v>
      </c>
      <c r="B32" s="6" t="s">
        <v>876</v>
      </c>
      <c r="C32" s="6" t="s">
        <v>877</v>
      </c>
      <c r="D32" s="6" t="s">
        <v>659</v>
      </c>
      <c r="E32" s="6" t="s">
        <v>878</v>
      </c>
      <c r="F32" s="6" t="s">
        <v>879</v>
      </c>
      <c r="G32" s="6"/>
      <c r="H32" s="6"/>
      <c r="I32" s="6"/>
    </row>
    <row r="33" spans="1:10" ht="39" x14ac:dyDescent="0.35">
      <c r="A33" s="5" t="s">
        <v>880</v>
      </c>
      <c r="B33" s="5" t="s">
        <v>876</v>
      </c>
      <c r="C33" s="5" t="s">
        <v>881</v>
      </c>
      <c r="D33" s="5" t="s">
        <v>587</v>
      </c>
      <c r="E33" s="5" t="s">
        <v>660</v>
      </c>
      <c r="F33" s="5" t="s">
        <v>882</v>
      </c>
      <c r="G33" s="5"/>
      <c r="H33" s="5"/>
      <c r="I33" s="5"/>
    </row>
    <row r="34" spans="1:10" ht="39" x14ac:dyDescent="0.35">
      <c r="A34" s="6" t="s">
        <v>883</v>
      </c>
      <c r="B34" s="6" t="s">
        <v>876</v>
      </c>
      <c r="C34" s="6" t="s">
        <v>884</v>
      </c>
      <c r="D34" s="6" t="s">
        <v>76</v>
      </c>
      <c r="E34" s="6" t="s">
        <v>660</v>
      </c>
      <c r="F34" s="6" t="s">
        <v>885</v>
      </c>
      <c r="G34" s="6"/>
      <c r="H34" s="6"/>
      <c r="I34" s="6"/>
    </row>
    <row r="35" spans="1:10" ht="39" x14ac:dyDescent="0.35">
      <c r="A35" s="5" t="s">
        <v>886</v>
      </c>
      <c r="B35" s="5" t="s">
        <v>887</v>
      </c>
      <c r="C35" s="5" t="s">
        <v>888</v>
      </c>
      <c r="D35" s="5" t="s">
        <v>76</v>
      </c>
      <c r="E35" s="5" t="s">
        <v>665</v>
      </c>
      <c r="F35" s="5" t="s">
        <v>889</v>
      </c>
      <c r="G35" s="5"/>
      <c r="H35" s="5"/>
      <c r="I35" s="5"/>
    </row>
    <row r="36" spans="1:10" ht="52" x14ac:dyDescent="0.35">
      <c r="A36" s="6" t="s">
        <v>890</v>
      </c>
      <c r="B36" s="6" t="s">
        <v>891</v>
      </c>
      <c r="C36" s="6" t="s">
        <v>892</v>
      </c>
      <c r="D36" s="6" t="s">
        <v>76</v>
      </c>
      <c r="E36" s="6" t="s">
        <v>893</v>
      </c>
      <c r="F36" s="6" t="s">
        <v>894</v>
      </c>
      <c r="G36" s="6"/>
      <c r="H36" s="6"/>
      <c r="I36" s="6"/>
    </row>
    <row r="37" spans="1:10" ht="52" x14ac:dyDescent="0.35">
      <c r="A37" s="5" t="s">
        <v>895</v>
      </c>
      <c r="B37" s="5" t="s">
        <v>896</v>
      </c>
      <c r="C37" s="5" t="s">
        <v>897</v>
      </c>
      <c r="D37" s="5" t="s">
        <v>124</v>
      </c>
      <c r="E37" s="5" t="s">
        <v>898</v>
      </c>
      <c r="F37" s="5" t="s">
        <v>899</v>
      </c>
      <c r="G37" s="5"/>
      <c r="H37" s="5"/>
      <c r="I37" s="5"/>
    </row>
    <row r="39" spans="1:10" ht="22" customHeight="1" x14ac:dyDescent="0.35">
      <c r="A39" s="122" t="s">
        <v>900</v>
      </c>
      <c r="B39" s="120"/>
      <c r="C39" s="120"/>
      <c r="D39" s="120"/>
      <c r="E39" s="120"/>
      <c r="F39" s="120"/>
      <c r="G39" s="120"/>
      <c r="H39" s="120"/>
      <c r="I39" s="120"/>
    </row>
    <row r="40" spans="1:10" ht="30" customHeight="1" x14ac:dyDescent="0.35">
      <c r="A40" s="4" t="s">
        <v>901</v>
      </c>
      <c r="B40" s="4" t="s">
        <v>902</v>
      </c>
      <c r="C40" s="4" t="s">
        <v>185</v>
      </c>
      <c r="D40" s="4" t="s">
        <v>903</v>
      </c>
      <c r="E40" s="4" t="s">
        <v>737</v>
      </c>
      <c r="F40" s="4" t="s">
        <v>904</v>
      </c>
      <c r="G40" s="4" t="s">
        <v>60</v>
      </c>
      <c r="H40" s="4" t="s">
        <v>26</v>
      </c>
      <c r="I40" s="4"/>
      <c r="J40" s="4"/>
    </row>
    <row r="41" spans="1:10" ht="26" x14ac:dyDescent="0.35">
      <c r="A41" s="8" t="s">
        <v>905</v>
      </c>
      <c r="B41" s="5" t="s">
        <v>906</v>
      </c>
      <c r="C41" s="5" t="s">
        <v>907</v>
      </c>
      <c r="D41" s="8" t="s">
        <v>908</v>
      </c>
      <c r="E41" s="8" t="s">
        <v>742</v>
      </c>
      <c r="F41" s="8" t="s">
        <v>484</v>
      </c>
      <c r="G41" s="5" t="s">
        <v>593</v>
      </c>
      <c r="H41" s="8" t="s">
        <v>909</v>
      </c>
      <c r="I41" s="5"/>
      <c r="J41" s="5"/>
    </row>
    <row r="42" spans="1:10" ht="26" x14ac:dyDescent="0.35">
      <c r="A42" s="7" t="s">
        <v>910</v>
      </c>
      <c r="B42" s="6" t="s">
        <v>911</v>
      </c>
      <c r="C42" s="6" t="s">
        <v>912</v>
      </c>
      <c r="D42" s="7" t="s">
        <v>908</v>
      </c>
      <c r="E42" s="7" t="s">
        <v>742</v>
      </c>
      <c r="F42" s="7" t="s">
        <v>484</v>
      </c>
      <c r="G42" s="6" t="s">
        <v>76</v>
      </c>
      <c r="H42" s="7" t="s">
        <v>909</v>
      </c>
      <c r="I42" s="6"/>
      <c r="J42" s="6"/>
    </row>
    <row r="43" spans="1:10" ht="26" x14ac:dyDescent="0.35">
      <c r="A43" s="8" t="s">
        <v>913</v>
      </c>
      <c r="B43" s="5" t="s">
        <v>914</v>
      </c>
      <c r="C43" s="5" t="s">
        <v>912</v>
      </c>
      <c r="D43" s="8" t="s">
        <v>908</v>
      </c>
      <c r="E43" s="8" t="s">
        <v>742</v>
      </c>
      <c r="F43" s="8" t="s">
        <v>484</v>
      </c>
      <c r="G43" s="5" t="s">
        <v>587</v>
      </c>
      <c r="H43" s="8" t="s">
        <v>909</v>
      </c>
      <c r="I43" s="5"/>
      <c r="J43" s="5"/>
    </row>
    <row r="44" spans="1:10" x14ac:dyDescent="0.35">
      <c r="A44" s="7" t="s">
        <v>915</v>
      </c>
      <c r="B44" s="6" t="s">
        <v>916</v>
      </c>
      <c r="C44" s="6" t="s">
        <v>917</v>
      </c>
      <c r="D44" s="7" t="s">
        <v>908</v>
      </c>
      <c r="E44" s="7" t="s">
        <v>742</v>
      </c>
      <c r="F44" s="7" t="s">
        <v>484</v>
      </c>
      <c r="G44" s="6" t="s">
        <v>582</v>
      </c>
      <c r="H44" s="7" t="s">
        <v>909</v>
      </c>
      <c r="I44" s="6"/>
      <c r="J44" s="6"/>
    </row>
    <row r="45" spans="1:10" ht="26" x14ac:dyDescent="0.35">
      <c r="A45" s="8" t="s">
        <v>918</v>
      </c>
      <c r="B45" s="5" t="s">
        <v>919</v>
      </c>
      <c r="C45" s="5" t="s">
        <v>920</v>
      </c>
      <c r="D45" s="8" t="s">
        <v>908</v>
      </c>
      <c r="E45" s="8" t="s">
        <v>742</v>
      </c>
      <c r="F45" s="8" t="s">
        <v>484</v>
      </c>
      <c r="G45" s="5" t="s">
        <v>834</v>
      </c>
      <c r="H45" s="8" t="s">
        <v>909</v>
      </c>
      <c r="I45" s="5"/>
      <c r="J45" s="5"/>
    </row>
    <row r="47" spans="1:10" ht="22" customHeight="1" x14ac:dyDescent="0.35">
      <c r="A47" s="122" t="s">
        <v>921</v>
      </c>
      <c r="B47" s="120"/>
      <c r="C47" s="120"/>
      <c r="D47" s="120"/>
      <c r="E47" s="120"/>
      <c r="F47" s="120"/>
      <c r="G47" s="120"/>
      <c r="H47" s="120"/>
      <c r="I47" s="120"/>
    </row>
    <row r="48" spans="1:10" x14ac:dyDescent="0.35">
      <c r="A48" s="132" t="s">
        <v>922</v>
      </c>
      <c r="B48" s="120"/>
      <c r="C48" s="120"/>
      <c r="D48" s="120"/>
      <c r="E48" s="120"/>
      <c r="F48" s="120"/>
      <c r="G48" s="120"/>
      <c r="H48" s="120"/>
      <c r="I48" s="120"/>
    </row>
    <row r="49" spans="1:9" x14ac:dyDescent="0.35">
      <c r="A49" s="132" t="s">
        <v>923</v>
      </c>
      <c r="B49" s="120"/>
      <c r="C49" s="120"/>
      <c r="D49" s="120"/>
      <c r="E49" s="120"/>
      <c r="F49" s="120"/>
      <c r="G49" s="120"/>
      <c r="H49" s="120"/>
      <c r="I49" s="120"/>
    </row>
    <row r="50" spans="1:9" x14ac:dyDescent="0.35">
      <c r="A50" s="132" t="s">
        <v>924</v>
      </c>
      <c r="B50" s="120"/>
      <c r="C50" s="120"/>
      <c r="D50" s="120"/>
      <c r="E50" s="120"/>
      <c r="F50" s="120"/>
      <c r="G50" s="120"/>
      <c r="H50" s="120"/>
      <c r="I50" s="120"/>
    </row>
    <row r="51" spans="1:9" x14ac:dyDescent="0.35">
      <c r="A51" s="132" t="s">
        <v>925</v>
      </c>
      <c r="B51" s="120"/>
      <c r="C51" s="120"/>
      <c r="D51" s="120"/>
      <c r="E51" s="120"/>
      <c r="F51" s="120"/>
      <c r="G51" s="120"/>
      <c r="H51" s="120"/>
      <c r="I51" s="120"/>
    </row>
    <row r="52" spans="1:9" x14ac:dyDescent="0.35">
      <c r="A52" s="132" t="s">
        <v>926</v>
      </c>
      <c r="B52" s="120"/>
      <c r="C52" s="120"/>
      <c r="D52" s="120"/>
      <c r="E52" s="120"/>
      <c r="F52" s="120"/>
      <c r="G52" s="120"/>
      <c r="H52" s="120"/>
      <c r="I52" s="120"/>
    </row>
  </sheetData>
  <mergeCells count="22">
    <mergeCell ref="A1:I1"/>
    <mergeCell ref="A9:B9"/>
    <mergeCell ref="A52:I52"/>
    <mergeCell ref="A5:B5"/>
    <mergeCell ref="A39:I39"/>
    <mergeCell ref="A8:B8"/>
    <mergeCell ref="A48:I48"/>
    <mergeCell ref="C9:I9"/>
    <mergeCell ref="A11:I11"/>
    <mergeCell ref="A49:I49"/>
    <mergeCell ref="A51:I51"/>
    <mergeCell ref="A2:I2"/>
    <mergeCell ref="A7:B7"/>
    <mergeCell ref="A47:I47"/>
    <mergeCell ref="C6:I6"/>
    <mergeCell ref="A4:I4"/>
    <mergeCell ref="C5:I5"/>
    <mergeCell ref="A25:I25"/>
    <mergeCell ref="C8:I8"/>
    <mergeCell ref="C7:I7"/>
    <mergeCell ref="A50:I50"/>
    <mergeCell ref="A6:B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4"/>
  <sheetViews>
    <sheetView showGridLines="0" workbookViewId="0">
      <selection sqref="A1:N1"/>
    </sheetView>
  </sheetViews>
  <sheetFormatPr defaultRowHeight="14.5" x14ac:dyDescent="0.35"/>
  <cols>
    <col min="1" max="1" width="7" customWidth="1"/>
    <col min="2" max="2" width="18" customWidth="1"/>
    <col min="3" max="3" width="26" customWidth="1"/>
    <col min="4" max="4" width="34" customWidth="1"/>
    <col min="5" max="5" width="10" customWidth="1"/>
    <col min="6" max="9" width="12" customWidth="1"/>
    <col min="10" max="10" width="34" customWidth="1"/>
    <col min="11" max="11" width="22" customWidth="1"/>
    <col min="12" max="12" width="34" customWidth="1"/>
    <col min="13" max="13" width="24" customWidth="1"/>
    <col min="14" max="14" width="10" customWidth="1"/>
  </cols>
  <sheetData>
    <row r="1" spans="1:14" ht="30" customHeight="1" x14ac:dyDescent="0.35">
      <c r="A1" s="119" t="s">
        <v>927</v>
      </c>
      <c r="B1" s="120"/>
      <c r="C1" s="120"/>
      <c r="D1" s="120"/>
      <c r="E1" s="120"/>
      <c r="F1" s="120"/>
      <c r="G1" s="120"/>
      <c r="H1" s="120"/>
      <c r="I1" s="120"/>
      <c r="J1" s="120"/>
      <c r="K1" s="120"/>
      <c r="L1" s="120"/>
      <c r="M1" s="120"/>
      <c r="N1" s="120"/>
    </row>
    <row r="2" spans="1:14" ht="18" customHeight="1" x14ac:dyDescent="0.35">
      <c r="A2" s="125" t="s">
        <v>928</v>
      </c>
      <c r="B2" s="120"/>
      <c r="C2" s="120"/>
      <c r="D2" s="120"/>
      <c r="E2" s="120"/>
      <c r="F2" s="120"/>
      <c r="G2" s="120"/>
      <c r="H2" s="120"/>
      <c r="I2" s="120"/>
      <c r="J2" s="120"/>
      <c r="K2" s="120"/>
      <c r="L2" s="120"/>
      <c r="M2" s="120"/>
      <c r="N2" s="120"/>
    </row>
    <row r="4" spans="1:14" ht="22" customHeight="1" x14ac:dyDescent="0.35">
      <c r="A4" s="122" t="s">
        <v>929</v>
      </c>
      <c r="B4" s="120"/>
      <c r="C4" s="120"/>
      <c r="D4" s="120"/>
      <c r="E4" s="120"/>
      <c r="F4" s="120"/>
      <c r="G4" s="120"/>
      <c r="H4" s="120"/>
      <c r="I4" s="120"/>
      <c r="J4" s="120"/>
      <c r="K4" s="120"/>
      <c r="L4" s="120"/>
      <c r="M4" s="120"/>
      <c r="N4" s="120"/>
    </row>
    <row r="5" spans="1:14" ht="30" customHeight="1" x14ac:dyDescent="0.35">
      <c r="A5" s="4" t="s">
        <v>930</v>
      </c>
      <c r="B5" s="4" t="s">
        <v>931</v>
      </c>
      <c r="C5" s="4" t="s">
        <v>932</v>
      </c>
      <c r="D5" s="4" t="s">
        <v>199</v>
      </c>
      <c r="E5" s="4" t="s">
        <v>933</v>
      </c>
      <c r="F5" s="4" t="s">
        <v>934</v>
      </c>
      <c r="G5" s="4" t="s">
        <v>935</v>
      </c>
      <c r="H5" s="4" t="s">
        <v>936</v>
      </c>
      <c r="I5" s="4" t="s">
        <v>937</v>
      </c>
      <c r="J5" s="4" t="s">
        <v>938</v>
      </c>
      <c r="K5" s="4" t="s">
        <v>939</v>
      </c>
      <c r="L5" s="4" t="s">
        <v>940</v>
      </c>
      <c r="M5" s="4" t="s">
        <v>941</v>
      </c>
      <c r="N5" s="4" t="s">
        <v>270</v>
      </c>
    </row>
    <row r="6" spans="1:14" ht="60" customHeight="1" x14ac:dyDescent="0.35">
      <c r="A6" s="7" t="s">
        <v>133</v>
      </c>
      <c r="B6" s="6" t="s">
        <v>942</v>
      </c>
      <c r="C6" s="6" t="s">
        <v>943</v>
      </c>
      <c r="D6" s="6" t="s">
        <v>944</v>
      </c>
      <c r="E6" s="7" t="s">
        <v>945</v>
      </c>
      <c r="F6" s="7" t="s">
        <v>946</v>
      </c>
      <c r="G6" s="7" t="s">
        <v>308</v>
      </c>
      <c r="H6" s="7" t="s">
        <v>947</v>
      </c>
      <c r="I6" s="7" t="s">
        <v>948</v>
      </c>
      <c r="J6" s="6" t="s">
        <v>949</v>
      </c>
      <c r="K6" s="6" t="s">
        <v>950</v>
      </c>
      <c r="L6" s="6" t="s">
        <v>951</v>
      </c>
      <c r="M6" s="6" t="s">
        <v>952</v>
      </c>
      <c r="N6" s="7" t="s">
        <v>568</v>
      </c>
    </row>
    <row r="7" spans="1:14" ht="60" customHeight="1" x14ac:dyDescent="0.35">
      <c r="A7" s="8" t="s">
        <v>137</v>
      </c>
      <c r="B7" s="5" t="s">
        <v>953</v>
      </c>
      <c r="C7" s="5" t="s">
        <v>954</v>
      </c>
      <c r="D7" s="5" t="s">
        <v>955</v>
      </c>
      <c r="E7" s="8" t="s">
        <v>956</v>
      </c>
      <c r="F7" s="8" t="s">
        <v>957</v>
      </c>
      <c r="G7" s="8" t="s">
        <v>310</v>
      </c>
      <c r="H7" s="8" t="s">
        <v>958</v>
      </c>
      <c r="I7" s="8" t="s">
        <v>959</v>
      </c>
      <c r="J7" s="5" t="s">
        <v>960</v>
      </c>
      <c r="K7" s="5" t="s">
        <v>961</v>
      </c>
      <c r="L7" s="5" t="s">
        <v>962</v>
      </c>
      <c r="M7" s="5" t="s">
        <v>963</v>
      </c>
      <c r="N7" s="8" t="s">
        <v>568</v>
      </c>
    </row>
    <row r="8" spans="1:14" ht="60" customHeight="1" x14ac:dyDescent="0.35">
      <c r="A8" s="7" t="s">
        <v>141</v>
      </c>
      <c r="B8" s="6" t="s">
        <v>964</v>
      </c>
      <c r="C8" s="6" t="s">
        <v>965</v>
      </c>
      <c r="D8" s="6" t="s">
        <v>966</v>
      </c>
      <c r="E8" s="7" t="s">
        <v>956</v>
      </c>
      <c r="F8" s="7" t="s">
        <v>371</v>
      </c>
      <c r="G8" s="7" t="s">
        <v>308</v>
      </c>
      <c r="H8" s="7" t="s">
        <v>369</v>
      </c>
      <c r="I8" s="7" t="s">
        <v>967</v>
      </c>
      <c r="J8" s="6" t="s">
        <v>968</v>
      </c>
      <c r="K8" s="6" t="s">
        <v>969</v>
      </c>
      <c r="L8" s="6" t="s">
        <v>970</v>
      </c>
      <c r="M8" s="6" t="s">
        <v>971</v>
      </c>
      <c r="N8" s="7" t="s">
        <v>568</v>
      </c>
    </row>
    <row r="9" spans="1:14" ht="60" customHeight="1" x14ac:dyDescent="0.35">
      <c r="A9" s="8" t="s">
        <v>145</v>
      </c>
      <c r="B9" s="5" t="s">
        <v>972</v>
      </c>
      <c r="C9" s="5" t="s">
        <v>973</v>
      </c>
      <c r="D9" s="5" t="s">
        <v>974</v>
      </c>
      <c r="E9" s="8" t="s">
        <v>956</v>
      </c>
      <c r="F9" s="8" t="s">
        <v>310</v>
      </c>
      <c r="G9" s="8" t="s">
        <v>308</v>
      </c>
      <c r="H9" s="8" t="s">
        <v>325</v>
      </c>
      <c r="I9" s="8" t="s">
        <v>975</v>
      </c>
      <c r="J9" s="5" t="s">
        <v>976</v>
      </c>
      <c r="K9" s="5" t="s">
        <v>977</v>
      </c>
      <c r="L9" s="5" t="s">
        <v>978</v>
      </c>
      <c r="M9" s="5" t="s">
        <v>979</v>
      </c>
      <c r="N9" s="8" t="s">
        <v>568</v>
      </c>
    </row>
    <row r="10" spans="1:14" ht="60" customHeight="1" x14ac:dyDescent="0.35">
      <c r="A10" s="7" t="s">
        <v>149</v>
      </c>
      <c r="B10" s="6" t="s">
        <v>980</v>
      </c>
      <c r="C10" s="6" t="s">
        <v>981</v>
      </c>
      <c r="D10" s="6" t="s">
        <v>982</v>
      </c>
      <c r="E10" s="7" t="s">
        <v>956</v>
      </c>
      <c r="F10" s="7" t="s">
        <v>371</v>
      </c>
      <c r="G10" s="7" t="s">
        <v>297</v>
      </c>
      <c r="H10" s="7" t="s">
        <v>323</v>
      </c>
      <c r="I10" s="7" t="s">
        <v>983</v>
      </c>
      <c r="J10" s="6" t="s">
        <v>984</v>
      </c>
      <c r="K10" s="6" t="s">
        <v>985</v>
      </c>
      <c r="L10" s="6" t="s">
        <v>986</v>
      </c>
      <c r="M10" s="6" t="s">
        <v>987</v>
      </c>
      <c r="N10" s="7" t="s">
        <v>568</v>
      </c>
    </row>
    <row r="11" spans="1:14" ht="60" customHeight="1" x14ac:dyDescent="0.35">
      <c r="A11" s="8" t="s">
        <v>153</v>
      </c>
      <c r="B11" s="5" t="s">
        <v>988</v>
      </c>
      <c r="C11" s="5" t="s">
        <v>989</v>
      </c>
      <c r="D11" s="5" t="s">
        <v>990</v>
      </c>
      <c r="E11" s="8" t="s">
        <v>956</v>
      </c>
      <c r="F11" s="8" t="s">
        <v>991</v>
      </c>
      <c r="G11" s="8" t="s">
        <v>297</v>
      </c>
      <c r="H11" s="8" t="s">
        <v>992</v>
      </c>
      <c r="I11" s="8" t="s">
        <v>948</v>
      </c>
      <c r="J11" s="5" t="s">
        <v>993</v>
      </c>
      <c r="K11" s="5" t="s">
        <v>994</v>
      </c>
      <c r="L11" s="5" t="s">
        <v>995</v>
      </c>
      <c r="M11" s="5" t="s">
        <v>996</v>
      </c>
      <c r="N11" s="8" t="s">
        <v>569</v>
      </c>
    </row>
    <row r="12" spans="1:14" ht="60" customHeight="1" x14ac:dyDescent="0.35">
      <c r="A12" s="7" t="s">
        <v>997</v>
      </c>
      <c r="B12" s="6" t="s">
        <v>998</v>
      </c>
      <c r="C12" s="6" t="s">
        <v>999</v>
      </c>
      <c r="D12" s="6" t="s">
        <v>1000</v>
      </c>
      <c r="E12" s="7" t="s">
        <v>956</v>
      </c>
      <c r="F12" s="7" t="s">
        <v>1001</v>
      </c>
      <c r="G12" s="7" t="s">
        <v>308</v>
      </c>
      <c r="H12" s="7" t="s">
        <v>1002</v>
      </c>
      <c r="I12" s="7" t="s">
        <v>1003</v>
      </c>
      <c r="J12" s="6" t="s">
        <v>1004</v>
      </c>
      <c r="K12" s="6" t="s">
        <v>1005</v>
      </c>
      <c r="L12" s="6" t="s">
        <v>1006</v>
      </c>
      <c r="M12" s="6" t="s">
        <v>1007</v>
      </c>
      <c r="N12" s="7" t="s">
        <v>568</v>
      </c>
    </row>
    <row r="13" spans="1:14" ht="60" customHeight="1" x14ac:dyDescent="0.35">
      <c r="A13" s="8" t="s">
        <v>1008</v>
      </c>
      <c r="B13" s="5" t="s">
        <v>1009</v>
      </c>
      <c r="C13" s="5" t="s">
        <v>1010</v>
      </c>
      <c r="D13" s="5" t="s">
        <v>1011</v>
      </c>
      <c r="E13" s="8" t="s">
        <v>945</v>
      </c>
      <c r="F13" s="8" t="s">
        <v>1012</v>
      </c>
      <c r="G13" s="8" t="s">
        <v>297</v>
      </c>
      <c r="H13" s="8" t="s">
        <v>1013</v>
      </c>
      <c r="I13" s="8" t="s">
        <v>1014</v>
      </c>
      <c r="J13" s="5" t="s">
        <v>1015</v>
      </c>
      <c r="K13" s="5" t="s">
        <v>1016</v>
      </c>
      <c r="L13" s="5" t="s">
        <v>1017</v>
      </c>
      <c r="M13" s="5" t="s">
        <v>1018</v>
      </c>
      <c r="N13" s="8" t="s">
        <v>568</v>
      </c>
    </row>
    <row r="15" spans="1:14" ht="22" customHeight="1" x14ac:dyDescent="0.35">
      <c r="A15" s="122" t="s">
        <v>1019</v>
      </c>
      <c r="B15" s="120"/>
      <c r="C15" s="120"/>
      <c r="D15" s="120"/>
      <c r="E15" s="120"/>
      <c r="F15" s="120"/>
      <c r="G15" s="120"/>
      <c r="H15" s="120"/>
      <c r="I15" s="120"/>
      <c r="J15" s="120"/>
      <c r="K15" s="120"/>
      <c r="L15" s="120"/>
      <c r="M15" s="120"/>
      <c r="N15" s="120"/>
    </row>
    <row r="16" spans="1:14" ht="30" customHeight="1" x14ac:dyDescent="0.35">
      <c r="A16" s="4" t="s">
        <v>776</v>
      </c>
      <c r="B16" s="4" t="s">
        <v>1020</v>
      </c>
      <c r="C16" s="4" t="s">
        <v>1021</v>
      </c>
      <c r="D16" s="4" t="s">
        <v>1022</v>
      </c>
      <c r="E16" s="4"/>
      <c r="F16" s="4"/>
      <c r="G16" s="4"/>
      <c r="H16" s="4"/>
      <c r="I16" s="4"/>
      <c r="J16" s="4"/>
      <c r="K16" s="4"/>
      <c r="L16" s="4"/>
      <c r="M16" s="4"/>
      <c r="N16" s="4"/>
    </row>
    <row r="17" spans="1:14" ht="52" x14ac:dyDescent="0.35">
      <c r="A17" s="5" t="s">
        <v>1023</v>
      </c>
      <c r="B17" s="8" t="s">
        <v>1024</v>
      </c>
      <c r="C17" s="8" t="s">
        <v>1025</v>
      </c>
      <c r="D17" s="8" t="s">
        <v>1026</v>
      </c>
      <c r="E17" s="5"/>
      <c r="F17" s="5"/>
      <c r="G17" s="5"/>
      <c r="H17" s="5"/>
      <c r="I17" s="5"/>
      <c r="J17" s="5"/>
      <c r="K17" s="5"/>
      <c r="L17" s="5"/>
      <c r="M17" s="5"/>
      <c r="N17" s="5"/>
    </row>
    <row r="18" spans="1:14" ht="52" x14ac:dyDescent="0.35">
      <c r="A18" s="6" t="s">
        <v>1027</v>
      </c>
      <c r="B18" s="7" t="s">
        <v>1028</v>
      </c>
      <c r="C18" s="7" t="s">
        <v>1025</v>
      </c>
      <c r="D18" s="7" t="s">
        <v>1026</v>
      </c>
      <c r="E18" s="6"/>
      <c r="F18" s="6"/>
      <c r="G18" s="6"/>
      <c r="H18" s="6"/>
      <c r="I18" s="6"/>
      <c r="J18" s="6"/>
      <c r="K18" s="6"/>
      <c r="L18" s="6"/>
      <c r="M18" s="6"/>
      <c r="N18" s="6"/>
    </row>
    <row r="19" spans="1:14" ht="52" x14ac:dyDescent="0.35">
      <c r="A19" s="5" t="s">
        <v>1029</v>
      </c>
      <c r="B19" s="8" t="s">
        <v>1030</v>
      </c>
      <c r="C19" s="8" t="s">
        <v>1025</v>
      </c>
      <c r="D19" s="8" t="s">
        <v>1026</v>
      </c>
      <c r="E19" s="5"/>
      <c r="F19" s="5"/>
      <c r="G19" s="5"/>
      <c r="H19" s="5"/>
      <c r="I19" s="5"/>
      <c r="J19" s="5"/>
      <c r="K19" s="5"/>
      <c r="L19" s="5"/>
      <c r="M19" s="5"/>
      <c r="N19" s="5"/>
    </row>
    <row r="20" spans="1:14" ht="65" x14ac:dyDescent="0.35">
      <c r="A20" s="6" t="s">
        <v>1031</v>
      </c>
      <c r="B20" s="7" t="s">
        <v>1032</v>
      </c>
      <c r="C20" s="7" t="s">
        <v>1033</v>
      </c>
      <c r="D20" s="7" t="s">
        <v>1034</v>
      </c>
      <c r="E20" s="6"/>
      <c r="F20" s="6"/>
      <c r="G20" s="6"/>
      <c r="H20" s="6"/>
      <c r="I20" s="6"/>
      <c r="J20" s="6"/>
      <c r="K20" s="6"/>
      <c r="L20" s="6"/>
      <c r="M20" s="6"/>
      <c r="N20" s="6"/>
    </row>
    <row r="21" spans="1:14" ht="78" x14ac:dyDescent="0.35">
      <c r="A21" s="5" t="s">
        <v>1035</v>
      </c>
      <c r="B21" s="8" t="s">
        <v>1036</v>
      </c>
      <c r="C21" s="8" t="s">
        <v>1036</v>
      </c>
      <c r="D21" s="8" t="s">
        <v>1037</v>
      </c>
      <c r="E21" s="5"/>
      <c r="F21" s="5"/>
      <c r="G21" s="5"/>
      <c r="H21" s="5"/>
      <c r="I21" s="5"/>
      <c r="J21" s="5"/>
      <c r="K21" s="5"/>
      <c r="L21" s="5"/>
      <c r="M21" s="5"/>
      <c r="N21" s="5"/>
    </row>
    <row r="22" spans="1:14" ht="39" x14ac:dyDescent="0.35">
      <c r="A22" s="6" t="s">
        <v>1038</v>
      </c>
      <c r="B22" s="7" t="s">
        <v>1039</v>
      </c>
      <c r="C22" s="7" t="s">
        <v>1040</v>
      </c>
      <c r="D22" s="7" t="s">
        <v>1037</v>
      </c>
      <c r="E22" s="6"/>
      <c r="F22" s="6"/>
      <c r="G22" s="6"/>
      <c r="H22" s="6"/>
      <c r="I22" s="6"/>
      <c r="J22" s="6"/>
      <c r="K22" s="6"/>
      <c r="L22" s="6"/>
      <c r="M22" s="6"/>
      <c r="N22" s="6"/>
    </row>
    <row r="24" spans="1:14" x14ac:dyDescent="0.35">
      <c r="A24" s="135" t="s">
        <v>1041</v>
      </c>
      <c r="B24" s="120"/>
      <c r="C24" s="120"/>
      <c r="D24" s="120"/>
      <c r="E24" s="120"/>
      <c r="F24" s="120"/>
      <c r="G24" s="120"/>
      <c r="H24" s="120"/>
      <c r="I24" s="120"/>
      <c r="J24" s="120"/>
      <c r="K24" s="120"/>
      <c r="L24" s="120"/>
      <c r="M24" s="120"/>
      <c r="N24" s="120"/>
    </row>
  </sheetData>
  <mergeCells count="5">
    <mergeCell ref="A4:N4"/>
    <mergeCell ref="A24:N24"/>
    <mergeCell ref="A2:N2"/>
    <mergeCell ref="A15:N15"/>
    <mergeCell ref="A1:N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49"/>
  <sheetViews>
    <sheetView showGridLines="0" workbookViewId="0">
      <pane xSplit="2" ySplit="4" topLeftCell="C5" activePane="bottomRight" state="frozen"/>
      <selection pane="topRight"/>
      <selection pane="bottomLeft"/>
      <selection pane="bottomRight" sqref="A1:M1"/>
    </sheetView>
  </sheetViews>
  <sheetFormatPr defaultRowHeight="14.5" x14ac:dyDescent="0.35"/>
  <cols>
    <col min="1" max="1" width="8" customWidth="1"/>
    <col min="2" max="2" width="16" customWidth="1"/>
    <col min="3" max="3" width="34" customWidth="1"/>
    <col min="4" max="4" width="42" customWidth="1"/>
    <col min="5" max="5" width="22" customWidth="1"/>
    <col min="6" max="6" width="12" customWidth="1"/>
    <col min="7" max="7" width="14" customWidth="1"/>
    <col min="8" max="8" width="18" customWidth="1"/>
    <col min="9" max="9" width="26" customWidth="1"/>
    <col min="10" max="10" width="22" customWidth="1"/>
    <col min="11" max="11" width="12" customWidth="1"/>
    <col min="12" max="12" width="14" customWidth="1"/>
    <col min="13" max="13" width="8" customWidth="1"/>
  </cols>
  <sheetData>
    <row r="1" spans="1:13" ht="30" customHeight="1" x14ac:dyDescent="0.35">
      <c r="A1" s="119" t="s">
        <v>1042</v>
      </c>
      <c r="B1" s="120"/>
      <c r="C1" s="120"/>
      <c r="D1" s="120"/>
      <c r="E1" s="120"/>
      <c r="F1" s="120"/>
      <c r="G1" s="120"/>
      <c r="H1" s="120"/>
      <c r="I1" s="120"/>
      <c r="J1" s="120"/>
      <c r="K1" s="120"/>
      <c r="L1" s="120"/>
      <c r="M1" s="120"/>
    </row>
    <row r="2" spans="1:13" ht="18" customHeight="1" x14ac:dyDescent="0.35">
      <c r="A2" s="125" t="s">
        <v>1043</v>
      </c>
      <c r="B2" s="120"/>
      <c r="C2" s="120"/>
      <c r="D2" s="120"/>
      <c r="E2" s="120"/>
      <c r="F2" s="120"/>
      <c r="G2" s="120"/>
      <c r="H2" s="120"/>
      <c r="I2" s="120"/>
      <c r="J2" s="120"/>
      <c r="K2" s="120"/>
      <c r="L2" s="120"/>
      <c r="M2" s="120"/>
    </row>
    <row r="4" spans="1:13" ht="30" customHeight="1" x14ac:dyDescent="0.35">
      <c r="A4" s="4" t="s">
        <v>734</v>
      </c>
      <c r="B4" s="4" t="s">
        <v>265</v>
      </c>
      <c r="C4" s="4" t="s">
        <v>735</v>
      </c>
      <c r="D4" s="4" t="s">
        <v>736</v>
      </c>
      <c r="E4" s="4" t="s">
        <v>1044</v>
      </c>
      <c r="F4" s="4" t="s">
        <v>650</v>
      </c>
      <c r="G4" s="4" t="s">
        <v>737</v>
      </c>
      <c r="H4" s="4" t="s">
        <v>738</v>
      </c>
      <c r="I4" s="4" t="s">
        <v>1045</v>
      </c>
      <c r="J4" s="4" t="s">
        <v>60</v>
      </c>
      <c r="K4" s="4" t="s">
        <v>1046</v>
      </c>
      <c r="L4" s="4" t="s">
        <v>1047</v>
      </c>
      <c r="M4" s="4" t="s">
        <v>1048</v>
      </c>
    </row>
    <row r="5" spans="1:13" ht="30" customHeight="1" x14ac:dyDescent="0.35">
      <c r="A5" s="8" t="s">
        <v>1049</v>
      </c>
      <c r="B5" s="19" t="s">
        <v>781</v>
      </c>
      <c r="C5" s="5" t="s">
        <v>782</v>
      </c>
      <c r="D5" s="5" t="s">
        <v>1050</v>
      </c>
      <c r="E5" s="5" t="s">
        <v>1051</v>
      </c>
      <c r="F5" s="8" t="s">
        <v>460</v>
      </c>
      <c r="G5" s="8" t="s">
        <v>742</v>
      </c>
      <c r="H5" s="8" t="s">
        <v>1052</v>
      </c>
      <c r="I5" s="5" t="s">
        <v>1053</v>
      </c>
      <c r="J5" s="5" t="s">
        <v>728</v>
      </c>
      <c r="K5" s="8" t="s">
        <v>779</v>
      </c>
      <c r="L5" s="8"/>
      <c r="M5" s="8"/>
    </row>
    <row r="6" spans="1:13" ht="30" customHeight="1" x14ac:dyDescent="0.35">
      <c r="A6" s="7" t="s">
        <v>1054</v>
      </c>
      <c r="B6" s="19" t="s">
        <v>781</v>
      </c>
      <c r="C6" s="6" t="s">
        <v>1055</v>
      </c>
      <c r="D6" s="6" t="s">
        <v>1056</v>
      </c>
      <c r="E6" s="6" t="s">
        <v>1051</v>
      </c>
      <c r="F6" s="7" t="s">
        <v>460</v>
      </c>
      <c r="G6" s="7" t="s">
        <v>742</v>
      </c>
      <c r="H6" s="7" t="s">
        <v>752</v>
      </c>
      <c r="I6" s="6" t="s">
        <v>1057</v>
      </c>
      <c r="J6" s="6" t="s">
        <v>76</v>
      </c>
      <c r="K6" s="7" t="s">
        <v>779</v>
      </c>
      <c r="L6" s="7"/>
      <c r="M6" s="7"/>
    </row>
    <row r="7" spans="1:13" ht="30" customHeight="1" x14ac:dyDescent="0.35">
      <c r="A7" s="8" t="s">
        <v>1058</v>
      </c>
      <c r="B7" s="19" t="s">
        <v>781</v>
      </c>
      <c r="C7" s="5" t="s">
        <v>1059</v>
      </c>
      <c r="D7" s="5" t="s">
        <v>1060</v>
      </c>
      <c r="E7" s="5" t="s">
        <v>1051</v>
      </c>
      <c r="F7" s="8" t="s">
        <v>460</v>
      </c>
      <c r="G7" s="8" t="s">
        <v>742</v>
      </c>
      <c r="H7" s="8" t="s">
        <v>1033</v>
      </c>
      <c r="I7" s="5" t="s">
        <v>1061</v>
      </c>
      <c r="J7" s="5" t="s">
        <v>76</v>
      </c>
      <c r="K7" s="8" t="s">
        <v>779</v>
      </c>
      <c r="L7" s="8"/>
      <c r="M7" s="8"/>
    </row>
    <row r="8" spans="1:13" ht="30" customHeight="1" x14ac:dyDescent="0.35">
      <c r="A8" s="7" t="s">
        <v>1062</v>
      </c>
      <c r="B8" s="19" t="s">
        <v>788</v>
      </c>
      <c r="C8" s="6" t="s">
        <v>732</v>
      </c>
      <c r="D8" s="6" t="s">
        <v>1063</v>
      </c>
      <c r="E8" s="6" t="s">
        <v>1051</v>
      </c>
      <c r="F8" s="7" t="s">
        <v>665</v>
      </c>
      <c r="G8" s="7" t="s">
        <v>742</v>
      </c>
      <c r="H8" s="7" t="s">
        <v>789</v>
      </c>
      <c r="I8" s="6" t="s">
        <v>1064</v>
      </c>
      <c r="J8" s="6" t="s">
        <v>587</v>
      </c>
      <c r="K8" s="7" t="s">
        <v>786</v>
      </c>
      <c r="L8" s="7"/>
      <c r="M8" s="7"/>
    </row>
    <row r="9" spans="1:13" ht="30" customHeight="1" x14ac:dyDescent="0.35">
      <c r="A9" s="8" t="s">
        <v>1065</v>
      </c>
      <c r="B9" s="19" t="s">
        <v>788</v>
      </c>
      <c r="C9" s="5" t="s">
        <v>1066</v>
      </c>
      <c r="D9" s="5" t="s">
        <v>1067</v>
      </c>
      <c r="E9" s="5" t="s">
        <v>1051</v>
      </c>
      <c r="F9" s="8" t="s">
        <v>665</v>
      </c>
      <c r="G9" s="8" t="s">
        <v>742</v>
      </c>
      <c r="H9" s="8" t="s">
        <v>1068</v>
      </c>
      <c r="I9" s="5" t="s">
        <v>1069</v>
      </c>
      <c r="J9" s="5" t="s">
        <v>659</v>
      </c>
      <c r="K9" s="8" t="s">
        <v>786</v>
      </c>
      <c r="L9" s="8"/>
      <c r="M9" s="8"/>
    </row>
    <row r="10" spans="1:13" ht="30" customHeight="1" x14ac:dyDescent="0.35">
      <c r="A10" s="7" t="s">
        <v>1070</v>
      </c>
      <c r="B10" s="19" t="s">
        <v>788</v>
      </c>
      <c r="C10" s="6" t="s">
        <v>1071</v>
      </c>
      <c r="D10" s="6" t="s">
        <v>1072</v>
      </c>
      <c r="E10" s="6" t="s">
        <v>1073</v>
      </c>
      <c r="F10" s="7" t="s">
        <v>1074</v>
      </c>
      <c r="G10" s="7" t="s">
        <v>742</v>
      </c>
      <c r="H10" s="7" t="s">
        <v>1025</v>
      </c>
      <c r="I10" s="6" t="s">
        <v>1064</v>
      </c>
      <c r="J10" s="6" t="s">
        <v>587</v>
      </c>
      <c r="K10" s="7" t="s">
        <v>786</v>
      </c>
      <c r="L10" s="7"/>
      <c r="M10" s="7"/>
    </row>
    <row r="11" spans="1:13" ht="30" customHeight="1" x14ac:dyDescent="0.35">
      <c r="A11" s="8" t="s">
        <v>1075</v>
      </c>
      <c r="B11" s="19" t="s">
        <v>794</v>
      </c>
      <c r="C11" s="5" t="s">
        <v>1076</v>
      </c>
      <c r="D11" s="5" t="s">
        <v>1077</v>
      </c>
      <c r="E11" s="5" t="s">
        <v>1078</v>
      </c>
      <c r="F11" s="8" t="s">
        <v>798</v>
      </c>
      <c r="G11" s="8" t="s">
        <v>742</v>
      </c>
      <c r="H11" s="8" t="s">
        <v>1025</v>
      </c>
      <c r="I11" s="5" t="s">
        <v>1064</v>
      </c>
      <c r="J11" s="5" t="s">
        <v>582</v>
      </c>
      <c r="K11" s="8" t="s">
        <v>792</v>
      </c>
      <c r="L11" s="8"/>
      <c r="M11" s="8"/>
    </row>
    <row r="12" spans="1:13" ht="30" customHeight="1" x14ac:dyDescent="0.35">
      <c r="A12" s="7" t="s">
        <v>1079</v>
      </c>
      <c r="B12" s="19" t="s">
        <v>794</v>
      </c>
      <c r="C12" s="6" t="s">
        <v>1080</v>
      </c>
      <c r="D12" s="6" t="s">
        <v>1081</v>
      </c>
      <c r="E12" s="6" t="s">
        <v>1051</v>
      </c>
      <c r="F12" s="7" t="s">
        <v>665</v>
      </c>
      <c r="G12" s="7" t="s">
        <v>742</v>
      </c>
      <c r="H12" s="7" t="s">
        <v>1025</v>
      </c>
      <c r="I12" s="6" t="s">
        <v>1064</v>
      </c>
      <c r="J12" s="6" t="s">
        <v>582</v>
      </c>
      <c r="K12" s="7" t="s">
        <v>792</v>
      </c>
      <c r="L12" s="7"/>
      <c r="M12" s="7"/>
    </row>
    <row r="13" spans="1:13" ht="30" customHeight="1" x14ac:dyDescent="0.35">
      <c r="A13" s="8" t="s">
        <v>1082</v>
      </c>
      <c r="B13" s="19" t="s">
        <v>801</v>
      </c>
      <c r="C13" s="5" t="s">
        <v>802</v>
      </c>
      <c r="D13" s="5" t="s">
        <v>1083</v>
      </c>
      <c r="E13" s="5" t="s">
        <v>1084</v>
      </c>
      <c r="F13" s="8" t="s">
        <v>460</v>
      </c>
      <c r="G13" s="8" t="s">
        <v>742</v>
      </c>
      <c r="H13" s="8" t="s">
        <v>803</v>
      </c>
      <c r="I13" s="5" t="s">
        <v>1085</v>
      </c>
      <c r="J13" s="5" t="s">
        <v>593</v>
      </c>
      <c r="K13" s="8" t="s">
        <v>799</v>
      </c>
      <c r="L13" s="8"/>
      <c r="M13" s="8"/>
    </row>
    <row r="14" spans="1:13" ht="30" customHeight="1" x14ac:dyDescent="0.35">
      <c r="A14" s="7" t="s">
        <v>1086</v>
      </c>
      <c r="B14" s="19" t="s">
        <v>801</v>
      </c>
      <c r="C14" s="6" t="s">
        <v>1087</v>
      </c>
      <c r="D14" s="6" t="s">
        <v>1088</v>
      </c>
      <c r="E14" s="6" t="s">
        <v>1084</v>
      </c>
      <c r="F14" s="7" t="s">
        <v>460</v>
      </c>
      <c r="G14" s="7" t="s">
        <v>742</v>
      </c>
      <c r="H14" s="7" t="s">
        <v>1089</v>
      </c>
      <c r="I14" s="6" t="s">
        <v>1090</v>
      </c>
      <c r="J14" s="6" t="s">
        <v>593</v>
      </c>
      <c r="K14" s="7" t="s">
        <v>799</v>
      </c>
      <c r="L14" s="7"/>
      <c r="M14" s="7"/>
    </row>
    <row r="15" spans="1:13" ht="30" customHeight="1" x14ac:dyDescent="0.35">
      <c r="A15" s="8" t="s">
        <v>1091</v>
      </c>
      <c r="B15" s="19" t="s">
        <v>801</v>
      </c>
      <c r="C15" s="5" t="s">
        <v>1092</v>
      </c>
      <c r="D15" s="5" t="s">
        <v>1093</v>
      </c>
      <c r="E15" s="5" t="s">
        <v>1084</v>
      </c>
      <c r="F15" s="8" t="s">
        <v>460</v>
      </c>
      <c r="G15" s="8" t="s">
        <v>742</v>
      </c>
      <c r="H15" s="8" t="s">
        <v>810</v>
      </c>
      <c r="I15" s="5" t="s">
        <v>1094</v>
      </c>
      <c r="J15" s="5" t="s">
        <v>728</v>
      </c>
      <c r="K15" s="8" t="s">
        <v>799</v>
      </c>
      <c r="L15" s="8"/>
      <c r="M15" s="8"/>
    </row>
    <row r="16" spans="1:13" ht="30" customHeight="1" x14ac:dyDescent="0.35">
      <c r="A16" s="7" t="s">
        <v>1095</v>
      </c>
      <c r="B16" s="20" t="s">
        <v>837</v>
      </c>
      <c r="C16" s="6" t="s">
        <v>656</v>
      </c>
      <c r="D16" s="6" t="s">
        <v>1096</v>
      </c>
      <c r="E16" s="6" t="s">
        <v>1097</v>
      </c>
      <c r="F16" s="7" t="s">
        <v>665</v>
      </c>
      <c r="G16" s="7" t="s">
        <v>742</v>
      </c>
      <c r="H16" s="7" t="s">
        <v>1025</v>
      </c>
      <c r="I16" s="6" t="s">
        <v>1064</v>
      </c>
      <c r="J16" s="6" t="s">
        <v>79</v>
      </c>
      <c r="K16" s="7" t="s">
        <v>786</v>
      </c>
      <c r="L16" s="7"/>
      <c r="M16" s="7"/>
    </row>
    <row r="17" spans="1:13" ht="30" customHeight="1" x14ac:dyDescent="0.35">
      <c r="A17" s="8" t="s">
        <v>1098</v>
      </c>
      <c r="B17" s="20" t="s">
        <v>837</v>
      </c>
      <c r="C17" s="5" t="s">
        <v>838</v>
      </c>
      <c r="D17" s="5" t="s">
        <v>1099</v>
      </c>
      <c r="E17" s="5" t="s">
        <v>961</v>
      </c>
      <c r="F17" s="8" t="s">
        <v>460</v>
      </c>
      <c r="G17" s="8" t="s">
        <v>839</v>
      </c>
      <c r="H17" s="8" t="s">
        <v>752</v>
      </c>
      <c r="I17" s="5" t="s">
        <v>1057</v>
      </c>
      <c r="J17" s="5" t="s">
        <v>76</v>
      </c>
      <c r="K17" s="8" t="s">
        <v>835</v>
      </c>
      <c r="L17" s="8"/>
      <c r="M17" s="8"/>
    </row>
    <row r="18" spans="1:13" ht="30" customHeight="1" x14ac:dyDescent="0.35">
      <c r="A18" s="7" t="s">
        <v>1100</v>
      </c>
      <c r="B18" s="20" t="s">
        <v>837</v>
      </c>
      <c r="C18" s="6" t="s">
        <v>1101</v>
      </c>
      <c r="D18" s="6" t="s">
        <v>1102</v>
      </c>
      <c r="E18" s="6" t="s">
        <v>1103</v>
      </c>
      <c r="F18" s="7" t="s">
        <v>460</v>
      </c>
      <c r="G18" s="7" t="s">
        <v>742</v>
      </c>
      <c r="H18" s="7" t="s">
        <v>1025</v>
      </c>
      <c r="I18" s="6" t="s">
        <v>1064</v>
      </c>
      <c r="J18" s="6" t="s">
        <v>76</v>
      </c>
      <c r="K18" s="7" t="s">
        <v>786</v>
      </c>
      <c r="L18" s="7"/>
      <c r="M18" s="7"/>
    </row>
    <row r="19" spans="1:13" ht="30" customHeight="1" x14ac:dyDescent="0.35">
      <c r="A19" s="8" t="s">
        <v>1104</v>
      </c>
      <c r="B19" s="19" t="s">
        <v>1105</v>
      </c>
      <c r="C19" s="5" t="s">
        <v>727</v>
      </c>
      <c r="D19" s="5" t="s">
        <v>1106</v>
      </c>
      <c r="E19" s="5" t="s">
        <v>1107</v>
      </c>
      <c r="F19" s="8" t="s">
        <v>813</v>
      </c>
      <c r="G19" s="8" t="s">
        <v>742</v>
      </c>
      <c r="H19" s="8" t="s">
        <v>810</v>
      </c>
      <c r="I19" s="5" t="s">
        <v>1108</v>
      </c>
      <c r="J19" s="5" t="s">
        <v>812</v>
      </c>
      <c r="K19" s="8" t="s">
        <v>806</v>
      </c>
      <c r="L19" s="8"/>
      <c r="M19" s="8"/>
    </row>
    <row r="20" spans="1:13" ht="30" customHeight="1" x14ac:dyDescent="0.35">
      <c r="A20" s="7" t="s">
        <v>1109</v>
      </c>
      <c r="B20" s="19" t="s">
        <v>1105</v>
      </c>
      <c r="C20" s="6" t="s">
        <v>817</v>
      </c>
      <c r="D20" s="6" t="s">
        <v>1110</v>
      </c>
      <c r="E20" s="6" t="s">
        <v>820</v>
      </c>
      <c r="F20" s="7" t="s">
        <v>1111</v>
      </c>
      <c r="G20" s="7" t="s">
        <v>818</v>
      </c>
      <c r="H20" s="7" t="s">
        <v>1112</v>
      </c>
      <c r="I20" s="6" t="s">
        <v>1113</v>
      </c>
      <c r="J20" s="6" t="s">
        <v>452</v>
      </c>
      <c r="K20" s="7" t="s">
        <v>814</v>
      </c>
      <c r="L20" s="7"/>
      <c r="M20" s="7"/>
    </row>
    <row r="21" spans="1:13" ht="30" customHeight="1" x14ac:dyDescent="0.35">
      <c r="A21" s="8" t="s">
        <v>1114</v>
      </c>
      <c r="B21" s="19" t="s">
        <v>1105</v>
      </c>
      <c r="C21" s="5" t="s">
        <v>824</v>
      </c>
      <c r="D21" s="5" t="s">
        <v>1115</v>
      </c>
      <c r="E21" s="5" t="s">
        <v>1116</v>
      </c>
      <c r="F21" s="8" t="s">
        <v>813</v>
      </c>
      <c r="G21" s="8" t="s">
        <v>825</v>
      </c>
      <c r="H21" s="8" t="s">
        <v>1117</v>
      </c>
      <c r="I21" s="5" t="s">
        <v>1118</v>
      </c>
      <c r="J21" s="5" t="s">
        <v>436</v>
      </c>
      <c r="K21" s="8" t="s">
        <v>821</v>
      </c>
      <c r="L21" s="8"/>
      <c r="M21" s="8"/>
    </row>
    <row r="22" spans="1:13" ht="30" customHeight="1" x14ac:dyDescent="0.35">
      <c r="A22" s="7" t="s">
        <v>1119</v>
      </c>
      <c r="B22" s="19" t="s">
        <v>1105</v>
      </c>
      <c r="C22" s="6" t="s">
        <v>1120</v>
      </c>
      <c r="D22" s="6" t="s">
        <v>1121</v>
      </c>
      <c r="E22" s="6" t="s">
        <v>1122</v>
      </c>
      <c r="F22" s="7" t="s">
        <v>460</v>
      </c>
      <c r="G22" s="7" t="s">
        <v>742</v>
      </c>
      <c r="H22" s="7" t="s">
        <v>1123</v>
      </c>
      <c r="I22" s="6" t="s">
        <v>1124</v>
      </c>
      <c r="J22" s="6" t="s">
        <v>1125</v>
      </c>
      <c r="K22" s="7" t="s">
        <v>806</v>
      </c>
      <c r="L22" s="7"/>
      <c r="M22" s="7"/>
    </row>
    <row r="23" spans="1:13" ht="30" customHeight="1" x14ac:dyDescent="0.35">
      <c r="A23" s="8" t="s">
        <v>1126</v>
      </c>
      <c r="B23" s="19" t="s">
        <v>1127</v>
      </c>
      <c r="C23" s="5" t="s">
        <v>1128</v>
      </c>
      <c r="D23" s="5" t="s">
        <v>1129</v>
      </c>
      <c r="E23" s="5" t="s">
        <v>1130</v>
      </c>
      <c r="F23" s="8" t="s">
        <v>665</v>
      </c>
      <c r="G23" s="8" t="s">
        <v>742</v>
      </c>
      <c r="H23" s="8" t="s">
        <v>1131</v>
      </c>
      <c r="I23" s="5" t="s">
        <v>1113</v>
      </c>
      <c r="J23" s="5" t="s">
        <v>444</v>
      </c>
      <c r="K23" s="8" t="s">
        <v>814</v>
      </c>
      <c r="L23" s="8"/>
      <c r="M23" s="8"/>
    </row>
    <row r="24" spans="1:13" ht="30" customHeight="1" x14ac:dyDescent="0.35">
      <c r="A24" s="7" t="s">
        <v>1132</v>
      </c>
      <c r="B24" s="19" t="s">
        <v>1127</v>
      </c>
      <c r="C24" s="6" t="s">
        <v>1133</v>
      </c>
      <c r="D24" s="6" t="s">
        <v>1134</v>
      </c>
      <c r="E24" s="6" t="s">
        <v>154</v>
      </c>
      <c r="F24" s="7" t="s">
        <v>1135</v>
      </c>
      <c r="G24" s="7" t="s">
        <v>204</v>
      </c>
      <c r="H24" s="7" t="s">
        <v>204</v>
      </c>
      <c r="I24" s="6" t="s">
        <v>1136</v>
      </c>
      <c r="J24" s="6" t="s">
        <v>444</v>
      </c>
      <c r="K24" s="7" t="s">
        <v>814</v>
      </c>
      <c r="L24" s="7"/>
      <c r="M24" s="7"/>
    </row>
    <row r="25" spans="1:13" ht="30" customHeight="1" x14ac:dyDescent="0.35">
      <c r="A25" s="8" t="s">
        <v>1137</v>
      </c>
      <c r="B25" s="21" t="s">
        <v>830</v>
      </c>
      <c r="C25" s="5" t="s">
        <v>1138</v>
      </c>
      <c r="D25" s="5" t="s">
        <v>1139</v>
      </c>
      <c r="E25" s="5" t="s">
        <v>1140</v>
      </c>
      <c r="F25" s="8" t="s">
        <v>460</v>
      </c>
      <c r="G25" s="8" t="s">
        <v>204</v>
      </c>
      <c r="H25" s="8" t="s">
        <v>1141</v>
      </c>
      <c r="I25" s="5" t="s">
        <v>1142</v>
      </c>
      <c r="J25" s="5" t="s">
        <v>76</v>
      </c>
      <c r="K25" s="8" t="s">
        <v>828</v>
      </c>
      <c r="L25" s="8"/>
      <c r="M25" s="8"/>
    </row>
    <row r="26" spans="1:13" ht="30" customHeight="1" x14ac:dyDescent="0.35">
      <c r="A26" s="7" t="s">
        <v>1143</v>
      </c>
      <c r="B26" s="21" t="s">
        <v>830</v>
      </c>
      <c r="C26" s="6" t="s">
        <v>1144</v>
      </c>
      <c r="D26" s="6" t="s">
        <v>1145</v>
      </c>
      <c r="E26" s="6" t="s">
        <v>1140</v>
      </c>
      <c r="F26" s="7" t="s">
        <v>1146</v>
      </c>
      <c r="G26" s="7" t="s">
        <v>742</v>
      </c>
      <c r="H26" s="7" t="s">
        <v>743</v>
      </c>
      <c r="I26" s="6" t="s">
        <v>1147</v>
      </c>
      <c r="J26" s="6" t="s">
        <v>76</v>
      </c>
      <c r="K26" s="7" t="s">
        <v>828</v>
      </c>
      <c r="L26" s="7"/>
      <c r="M26" s="7"/>
    </row>
    <row r="27" spans="1:13" ht="30" customHeight="1" x14ac:dyDescent="0.35">
      <c r="A27" s="8" t="s">
        <v>1148</v>
      </c>
      <c r="B27" s="21" t="s">
        <v>830</v>
      </c>
      <c r="C27" s="5" t="s">
        <v>1149</v>
      </c>
      <c r="D27" s="5" t="s">
        <v>1150</v>
      </c>
      <c r="E27" s="5" t="s">
        <v>1140</v>
      </c>
      <c r="F27" s="8" t="s">
        <v>454</v>
      </c>
      <c r="G27" s="8" t="s">
        <v>742</v>
      </c>
      <c r="H27" s="8" t="s">
        <v>752</v>
      </c>
      <c r="I27" s="5" t="s">
        <v>1057</v>
      </c>
      <c r="J27" s="5" t="s">
        <v>10</v>
      </c>
      <c r="K27" s="8" t="s">
        <v>828</v>
      </c>
      <c r="L27" s="8"/>
      <c r="M27" s="8"/>
    </row>
    <row r="28" spans="1:13" ht="30" customHeight="1" x14ac:dyDescent="0.35">
      <c r="A28" s="7" t="s">
        <v>1151</v>
      </c>
      <c r="B28" s="21" t="s">
        <v>830</v>
      </c>
      <c r="C28" s="6" t="s">
        <v>1152</v>
      </c>
      <c r="D28" s="6" t="s">
        <v>1153</v>
      </c>
      <c r="E28" s="6" t="s">
        <v>1154</v>
      </c>
      <c r="F28" s="7" t="s">
        <v>460</v>
      </c>
      <c r="G28" s="7" t="s">
        <v>742</v>
      </c>
      <c r="H28" s="7" t="s">
        <v>1155</v>
      </c>
      <c r="I28" s="6" t="s">
        <v>1156</v>
      </c>
      <c r="J28" s="6" t="s">
        <v>10</v>
      </c>
      <c r="K28" s="7" t="s">
        <v>828</v>
      </c>
      <c r="L28" s="7"/>
      <c r="M28" s="7"/>
    </row>
    <row r="29" spans="1:13" ht="30" customHeight="1" x14ac:dyDescent="0.35">
      <c r="A29" s="8" t="s">
        <v>1157</v>
      </c>
      <c r="B29" s="22" t="s">
        <v>77</v>
      </c>
      <c r="C29" s="5" t="s">
        <v>740</v>
      </c>
      <c r="D29" s="5" t="s">
        <v>741</v>
      </c>
      <c r="E29" s="5" t="s">
        <v>1158</v>
      </c>
      <c r="F29" s="8" t="s">
        <v>744</v>
      </c>
      <c r="G29" s="8" t="s">
        <v>742</v>
      </c>
      <c r="H29" s="8" t="s">
        <v>743</v>
      </c>
      <c r="I29" s="5" t="s">
        <v>1147</v>
      </c>
      <c r="J29" s="5" t="s">
        <v>79</v>
      </c>
      <c r="K29" s="8" t="s">
        <v>786</v>
      </c>
      <c r="L29" s="8"/>
      <c r="M29" s="8"/>
    </row>
    <row r="30" spans="1:13" ht="30" customHeight="1" x14ac:dyDescent="0.35">
      <c r="A30" s="7" t="s">
        <v>1159</v>
      </c>
      <c r="B30" s="22" t="s">
        <v>77</v>
      </c>
      <c r="C30" s="6" t="s">
        <v>715</v>
      </c>
      <c r="D30" s="6" t="s">
        <v>1160</v>
      </c>
      <c r="E30" s="6" t="s">
        <v>1161</v>
      </c>
      <c r="F30" s="7" t="s">
        <v>1162</v>
      </c>
      <c r="G30" s="7" t="s">
        <v>747</v>
      </c>
      <c r="H30" s="7" t="s">
        <v>743</v>
      </c>
      <c r="I30" s="6" t="s">
        <v>1147</v>
      </c>
      <c r="J30" s="6" t="s">
        <v>79</v>
      </c>
      <c r="K30" s="7" t="s">
        <v>786</v>
      </c>
      <c r="L30" s="7"/>
      <c r="M30" s="7"/>
    </row>
    <row r="31" spans="1:13" ht="30" customHeight="1" x14ac:dyDescent="0.35">
      <c r="A31" s="8" t="s">
        <v>1163</v>
      </c>
      <c r="B31" s="22" t="s">
        <v>77</v>
      </c>
      <c r="C31" s="5" t="s">
        <v>750</v>
      </c>
      <c r="D31" s="5" t="s">
        <v>751</v>
      </c>
      <c r="E31" s="5" t="s">
        <v>1164</v>
      </c>
      <c r="F31" s="8" t="s">
        <v>753</v>
      </c>
      <c r="G31" s="8" t="s">
        <v>747</v>
      </c>
      <c r="H31" s="8" t="s">
        <v>752</v>
      </c>
      <c r="I31" s="5" t="s">
        <v>1165</v>
      </c>
      <c r="J31" s="5" t="s">
        <v>79</v>
      </c>
      <c r="K31" s="8" t="s">
        <v>799</v>
      </c>
      <c r="L31" s="8"/>
      <c r="M31" s="8"/>
    </row>
    <row r="32" spans="1:13" ht="30" customHeight="1" x14ac:dyDescent="0.35">
      <c r="A32" s="7" t="s">
        <v>1166</v>
      </c>
      <c r="B32" s="22" t="s">
        <v>77</v>
      </c>
      <c r="C32" s="6" t="s">
        <v>755</v>
      </c>
      <c r="D32" s="6" t="s">
        <v>1167</v>
      </c>
      <c r="E32" s="6" t="s">
        <v>1168</v>
      </c>
      <c r="F32" s="7" t="s">
        <v>671</v>
      </c>
      <c r="G32" s="7" t="s">
        <v>747</v>
      </c>
      <c r="H32" s="7" t="s">
        <v>743</v>
      </c>
      <c r="I32" s="6" t="s">
        <v>1169</v>
      </c>
      <c r="J32" s="6" t="s">
        <v>79</v>
      </c>
      <c r="K32" s="7" t="s">
        <v>786</v>
      </c>
      <c r="L32" s="7"/>
      <c r="M32" s="7"/>
    </row>
    <row r="33" spans="1:13" ht="30" customHeight="1" x14ac:dyDescent="0.35">
      <c r="A33" s="8" t="s">
        <v>1170</v>
      </c>
      <c r="B33" s="22" t="s">
        <v>77</v>
      </c>
      <c r="C33" s="5" t="s">
        <v>758</v>
      </c>
      <c r="D33" s="5" t="s">
        <v>1171</v>
      </c>
      <c r="E33" s="5" t="s">
        <v>1172</v>
      </c>
      <c r="F33" s="8" t="s">
        <v>460</v>
      </c>
      <c r="G33" s="8" t="s">
        <v>742</v>
      </c>
      <c r="H33" s="8" t="s">
        <v>760</v>
      </c>
      <c r="I33" s="5" t="s">
        <v>1156</v>
      </c>
      <c r="J33" s="5" t="s">
        <v>79</v>
      </c>
      <c r="K33" s="8" t="s">
        <v>786</v>
      </c>
      <c r="L33" s="8"/>
      <c r="M33" s="8"/>
    </row>
    <row r="34" spans="1:13" ht="30" customHeight="1" x14ac:dyDescent="0.35">
      <c r="A34" s="7" t="s">
        <v>1173</v>
      </c>
      <c r="B34" s="21" t="s">
        <v>830</v>
      </c>
      <c r="C34" s="6" t="s">
        <v>1174</v>
      </c>
      <c r="D34" s="6" t="s">
        <v>1175</v>
      </c>
      <c r="E34" s="6" t="s">
        <v>1176</v>
      </c>
      <c r="F34" s="7" t="s">
        <v>1177</v>
      </c>
      <c r="G34" s="7" t="s">
        <v>742</v>
      </c>
      <c r="H34" s="7" t="s">
        <v>1025</v>
      </c>
      <c r="I34" s="6" t="s">
        <v>1178</v>
      </c>
      <c r="J34" s="6" t="s">
        <v>1179</v>
      </c>
      <c r="K34" s="7" t="s">
        <v>828</v>
      </c>
      <c r="L34" s="7"/>
      <c r="M34" s="7"/>
    </row>
    <row r="35" spans="1:13" ht="30" customHeight="1" x14ac:dyDescent="0.35">
      <c r="A35" s="8" t="s">
        <v>1180</v>
      </c>
      <c r="B35" s="21" t="s">
        <v>830</v>
      </c>
      <c r="C35" s="5" t="s">
        <v>1181</v>
      </c>
      <c r="D35" s="5" t="s">
        <v>1182</v>
      </c>
      <c r="E35" s="5" t="s">
        <v>1176</v>
      </c>
      <c r="F35" s="8" t="s">
        <v>1177</v>
      </c>
      <c r="G35" s="8" t="s">
        <v>742</v>
      </c>
      <c r="H35" s="8" t="s">
        <v>1183</v>
      </c>
      <c r="I35" s="5" t="s">
        <v>1184</v>
      </c>
      <c r="J35" s="5" t="s">
        <v>1179</v>
      </c>
      <c r="K35" s="8" t="s">
        <v>828</v>
      </c>
      <c r="L35" s="8"/>
      <c r="M35" s="8"/>
    </row>
    <row r="36" spans="1:13" ht="30" customHeight="1" x14ac:dyDescent="0.35">
      <c r="A36" s="7" t="s">
        <v>1185</v>
      </c>
      <c r="B36" s="21" t="s">
        <v>830</v>
      </c>
      <c r="C36" s="6" t="s">
        <v>1186</v>
      </c>
      <c r="D36" s="6" t="s">
        <v>1187</v>
      </c>
      <c r="E36" s="6" t="s">
        <v>1176</v>
      </c>
      <c r="F36" s="7" t="s">
        <v>1177</v>
      </c>
      <c r="G36" s="7" t="s">
        <v>742</v>
      </c>
      <c r="H36" s="7" t="s">
        <v>1188</v>
      </c>
      <c r="I36" s="6" t="s">
        <v>1189</v>
      </c>
      <c r="J36" s="6" t="s">
        <v>1179</v>
      </c>
      <c r="K36" s="7" t="s">
        <v>828</v>
      </c>
      <c r="L36" s="7"/>
      <c r="M36" s="7"/>
    </row>
    <row r="37" spans="1:13" ht="30" customHeight="1" x14ac:dyDescent="0.35">
      <c r="A37" s="8" t="s">
        <v>1190</v>
      </c>
      <c r="B37" s="21" t="s">
        <v>830</v>
      </c>
      <c r="C37" s="5" t="s">
        <v>1191</v>
      </c>
      <c r="D37" s="5" t="s">
        <v>1192</v>
      </c>
      <c r="E37" s="5" t="s">
        <v>1193</v>
      </c>
      <c r="F37" s="8" t="s">
        <v>1177</v>
      </c>
      <c r="G37" s="8" t="s">
        <v>742</v>
      </c>
      <c r="H37" s="8" t="s">
        <v>1194</v>
      </c>
      <c r="I37" s="5" t="s">
        <v>1195</v>
      </c>
      <c r="J37" s="5" t="s">
        <v>1179</v>
      </c>
      <c r="K37" s="8" t="s">
        <v>828</v>
      </c>
      <c r="L37" s="8"/>
      <c r="M37" s="8"/>
    </row>
    <row r="38" spans="1:13" ht="30" customHeight="1" x14ac:dyDescent="0.35">
      <c r="A38" s="7" t="s">
        <v>1196</v>
      </c>
      <c r="B38" s="19" t="s">
        <v>1197</v>
      </c>
      <c r="C38" s="6" t="s">
        <v>1198</v>
      </c>
      <c r="D38" s="6" t="s">
        <v>1199</v>
      </c>
      <c r="E38" s="6" t="s">
        <v>961</v>
      </c>
      <c r="F38" s="7" t="s">
        <v>665</v>
      </c>
      <c r="G38" s="7" t="s">
        <v>742</v>
      </c>
      <c r="H38" s="7" t="s">
        <v>743</v>
      </c>
      <c r="I38" s="6" t="s">
        <v>1147</v>
      </c>
      <c r="J38" s="6" t="s">
        <v>76</v>
      </c>
      <c r="K38" s="7" t="s">
        <v>835</v>
      </c>
      <c r="L38" s="7"/>
      <c r="M38" s="7"/>
    </row>
    <row r="39" spans="1:13" ht="30" customHeight="1" x14ac:dyDescent="0.35">
      <c r="A39" s="8" t="s">
        <v>1200</v>
      </c>
      <c r="B39" s="19" t="s">
        <v>1197</v>
      </c>
      <c r="C39" s="5" t="s">
        <v>1201</v>
      </c>
      <c r="D39" s="5" t="s">
        <v>1202</v>
      </c>
      <c r="E39" s="5" t="s">
        <v>961</v>
      </c>
      <c r="F39" s="8" t="s">
        <v>665</v>
      </c>
      <c r="G39" s="8" t="s">
        <v>742</v>
      </c>
      <c r="H39" s="8" t="s">
        <v>810</v>
      </c>
      <c r="I39" s="5" t="s">
        <v>1094</v>
      </c>
      <c r="J39" s="5" t="s">
        <v>76</v>
      </c>
      <c r="K39" s="8" t="s">
        <v>835</v>
      </c>
      <c r="L39" s="8"/>
      <c r="M39" s="8"/>
    </row>
    <row r="40" spans="1:13" ht="30" customHeight="1" x14ac:dyDescent="0.35">
      <c r="A40" s="7" t="s">
        <v>1203</v>
      </c>
      <c r="B40" s="19" t="s">
        <v>1197</v>
      </c>
      <c r="C40" s="6" t="s">
        <v>1204</v>
      </c>
      <c r="D40" s="6" t="s">
        <v>1205</v>
      </c>
      <c r="E40" s="6" t="s">
        <v>1206</v>
      </c>
      <c r="F40" s="7" t="s">
        <v>665</v>
      </c>
      <c r="G40" s="7" t="s">
        <v>742</v>
      </c>
      <c r="H40" s="7" t="s">
        <v>803</v>
      </c>
      <c r="I40" s="6" t="s">
        <v>1085</v>
      </c>
      <c r="J40" s="6" t="s">
        <v>76</v>
      </c>
      <c r="K40" s="7" t="s">
        <v>835</v>
      </c>
      <c r="L40" s="7"/>
      <c r="M40" s="7"/>
    </row>
    <row r="41" spans="1:13" ht="30" customHeight="1" x14ac:dyDescent="0.35">
      <c r="A41" s="8" t="s">
        <v>1207</v>
      </c>
      <c r="B41" s="19" t="s">
        <v>648</v>
      </c>
      <c r="C41" s="5" t="s">
        <v>1208</v>
      </c>
      <c r="D41" s="5" t="s">
        <v>1209</v>
      </c>
      <c r="E41" s="5" t="s">
        <v>1210</v>
      </c>
      <c r="F41" s="8" t="s">
        <v>665</v>
      </c>
      <c r="G41" s="8" t="s">
        <v>747</v>
      </c>
      <c r="H41" s="8" t="s">
        <v>1025</v>
      </c>
      <c r="I41" s="5" t="s">
        <v>1064</v>
      </c>
      <c r="J41" s="5" t="s">
        <v>1211</v>
      </c>
      <c r="K41" s="8" t="s">
        <v>786</v>
      </c>
      <c r="L41" s="8"/>
      <c r="M41" s="8"/>
    </row>
    <row r="42" spans="1:13" ht="30" customHeight="1" x14ac:dyDescent="0.35">
      <c r="A42" s="7" t="s">
        <v>1212</v>
      </c>
      <c r="B42" s="19" t="s">
        <v>648</v>
      </c>
      <c r="C42" s="6" t="s">
        <v>1213</v>
      </c>
      <c r="D42" s="6" t="s">
        <v>1214</v>
      </c>
      <c r="E42" s="6" t="s">
        <v>1215</v>
      </c>
      <c r="F42" s="7" t="s">
        <v>460</v>
      </c>
      <c r="G42" s="7" t="s">
        <v>742</v>
      </c>
      <c r="H42" s="7" t="s">
        <v>752</v>
      </c>
      <c r="I42" s="6" t="s">
        <v>1057</v>
      </c>
      <c r="J42" s="6" t="s">
        <v>1211</v>
      </c>
      <c r="K42" s="7" t="s">
        <v>786</v>
      </c>
      <c r="L42" s="7"/>
      <c r="M42" s="7"/>
    </row>
    <row r="43" spans="1:13" ht="30" customHeight="1" x14ac:dyDescent="0.35">
      <c r="A43" s="8" t="s">
        <v>1216</v>
      </c>
      <c r="B43" s="19" t="s">
        <v>648</v>
      </c>
      <c r="C43" s="5" t="s">
        <v>1217</v>
      </c>
      <c r="D43" s="5" t="s">
        <v>1218</v>
      </c>
      <c r="E43" s="5" t="s">
        <v>1215</v>
      </c>
      <c r="F43" s="8" t="s">
        <v>460</v>
      </c>
      <c r="G43" s="8" t="s">
        <v>742</v>
      </c>
      <c r="H43" s="8" t="s">
        <v>1219</v>
      </c>
      <c r="I43" s="5" t="s">
        <v>1220</v>
      </c>
      <c r="J43" s="5" t="s">
        <v>1211</v>
      </c>
      <c r="K43" s="8" t="s">
        <v>786</v>
      </c>
      <c r="L43" s="8"/>
      <c r="M43" s="8"/>
    </row>
    <row r="44" spans="1:13" ht="30" customHeight="1" x14ac:dyDescent="0.35">
      <c r="A44" s="7" t="s">
        <v>1221</v>
      </c>
      <c r="B44" s="19" t="s">
        <v>648</v>
      </c>
      <c r="C44" s="6" t="s">
        <v>1222</v>
      </c>
      <c r="D44" s="6" t="s">
        <v>1223</v>
      </c>
      <c r="E44" s="6" t="s">
        <v>1215</v>
      </c>
      <c r="F44" s="7" t="s">
        <v>1135</v>
      </c>
      <c r="G44" s="7" t="s">
        <v>204</v>
      </c>
      <c r="H44" s="7" t="s">
        <v>204</v>
      </c>
      <c r="I44" s="6" t="s">
        <v>1136</v>
      </c>
      <c r="J44" s="6" t="s">
        <v>444</v>
      </c>
      <c r="K44" s="7" t="s">
        <v>814</v>
      </c>
      <c r="L44" s="7"/>
      <c r="M44" s="7"/>
    </row>
    <row r="45" spans="1:13" ht="30" customHeight="1" x14ac:dyDescent="0.35">
      <c r="A45" s="8" t="s">
        <v>1224</v>
      </c>
      <c r="B45" s="21" t="s">
        <v>830</v>
      </c>
      <c r="C45" s="5" t="s">
        <v>1225</v>
      </c>
      <c r="D45" s="5" t="s">
        <v>1226</v>
      </c>
      <c r="E45" s="5" t="s">
        <v>99</v>
      </c>
      <c r="F45" s="8" t="s">
        <v>460</v>
      </c>
      <c r="G45" s="8" t="s">
        <v>1227</v>
      </c>
      <c r="H45" s="8" t="s">
        <v>1228</v>
      </c>
      <c r="I45" s="5" t="s">
        <v>1165</v>
      </c>
      <c r="J45" s="5" t="s">
        <v>94</v>
      </c>
      <c r="K45" s="8" t="s">
        <v>841</v>
      </c>
      <c r="L45" s="8"/>
      <c r="M45" s="8"/>
    </row>
    <row r="46" spans="1:13" ht="30" customHeight="1" x14ac:dyDescent="0.35">
      <c r="A46" s="7" t="s">
        <v>1229</v>
      </c>
      <c r="B46" s="21" t="s">
        <v>830</v>
      </c>
      <c r="C46" s="6" t="s">
        <v>1230</v>
      </c>
      <c r="D46" s="6" t="s">
        <v>1231</v>
      </c>
      <c r="E46" s="6" t="s">
        <v>102</v>
      </c>
      <c r="F46" s="7" t="s">
        <v>678</v>
      </c>
      <c r="G46" s="7" t="s">
        <v>844</v>
      </c>
      <c r="H46" s="7" t="s">
        <v>1232</v>
      </c>
      <c r="I46" s="6" t="s">
        <v>1233</v>
      </c>
      <c r="J46" s="6" t="s">
        <v>76</v>
      </c>
      <c r="K46" s="7" t="s">
        <v>841</v>
      </c>
      <c r="L46" s="7"/>
      <c r="M46" s="7"/>
    </row>
    <row r="47" spans="1:13" ht="30" customHeight="1" x14ac:dyDescent="0.35">
      <c r="A47" s="8" t="s">
        <v>1234</v>
      </c>
      <c r="B47" s="21" t="s">
        <v>830</v>
      </c>
      <c r="C47" s="5" t="s">
        <v>1235</v>
      </c>
      <c r="D47" s="5" t="s">
        <v>1236</v>
      </c>
      <c r="E47" s="5" t="s">
        <v>105</v>
      </c>
      <c r="F47" s="8" t="s">
        <v>460</v>
      </c>
      <c r="G47" s="8" t="s">
        <v>747</v>
      </c>
      <c r="H47" s="8" t="s">
        <v>850</v>
      </c>
      <c r="I47" s="5" t="s">
        <v>1237</v>
      </c>
      <c r="J47" s="5" t="s">
        <v>63</v>
      </c>
      <c r="K47" s="8" t="s">
        <v>847</v>
      </c>
      <c r="L47" s="8"/>
      <c r="M47" s="8"/>
    </row>
    <row r="48" spans="1:13" ht="30" customHeight="1" x14ac:dyDescent="0.35">
      <c r="A48" s="7" t="s">
        <v>1238</v>
      </c>
      <c r="B48" s="21" t="s">
        <v>830</v>
      </c>
      <c r="C48" s="6" t="s">
        <v>1239</v>
      </c>
      <c r="D48" s="6" t="s">
        <v>1240</v>
      </c>
      <c r="E48" s="6" t="s">
        <v>99</v>
      </c>
      <c r="F48" s="7" t="s">
        <v>460</v>
      </c>
      <c r="G48" s="7" t="s">
        <v>141</v>
      </c>
      <c r="H48" s="7" t="s">
        <v>1241</v>
      </c>
      <c r="I48" s="6" t="s">
        <v>1156</v>
      </c>
      <c r="J48" s="6" t="s">
        <v>124</v>
      </c>
      <c r="K48" s="7" t="s">
        <v>841</v>
      </c>
      <c r="L48" s="7"/>
      <c r="M48" s="7"/>
    </row>
    <row r="49" spans="1:13" ht="30" customHeight="1" x14ac:dyDescent="0.35">
      <c r="A49" s="8" t="s">
        <v>1242</v>
      </c>
      <c r="B49" s="21" t="s">
        <v>830</v>
      </c>
      <c r="C49" s="5" t="s">
        <v>1243</v>
      </c>
      <c r="D49" s="5" t="s">
        <v>1244</v>
      </c>
      <c r="E49" s="5" t="s">
        <v>95</v>
      </c>
      <c r="F49" s="8" t="s">
        <v>1245</v>
      </c>
      <c r="G49" s="8" t="s">
        <v>1246</v>
      </c>
      <c r="H49" s="8" t="s">
        <v>1247</v>
      </c>
      <c r="I49" s="5" t="s">
        <v>1237</v>
      </c>
      <c r="J49" s="5" t="s">
        <v>76</v>
      </c>
      <c r="K49" s="8" t="s">
        <v>847</v>
      </c>
      <c r="L49" s="8"/>
      <c r="M49" s="8"/>
    </row>
  </sheetData>
  <mergeCells count="2">
    <mergeCell ref="A2:M2"/>
    <mergeCell ref="A1:M1"/>
  </mergeCells>
  <conditionalFormatting sqref="M5:M49">
    <cfRule type="cellIs" dxfId="8" priority="1" operator="equal">
      <formula>"G"</formula>
    </cfRule>
    <cfRule type="cellIs" dxfId="7" priority="2" operator="equal">
      <formula>"A"</formula>
    </cfRule>
    <cfRule type="cellIs" dxfId="6" priority="3" operator="equal">
      <formula>"R"</formula>
    </cfRule>
  </conditionalFormatting>
  <dataValidations count="1">
    <dataValidation type="list" allowBlank="1" showInputMessage="1" promptTitle="Select" prompt="Set RAG status" sqref="M5:M49" xr:uid="{00000000-0002-0000-0800-000000000000}">
      <formula1>"G,A,R"</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68"/>
  <sheetViews>
    <sheetView showGridLines="0" workbookViewId="0">
      <pane xSplit="2" ySplit="4" topLeftCell="C5" activePane="bottomRight" state="frozen"/>
      <selection pane="topRight"/>
      <selection pane="bottomLeft"/>
      <selection pane="bottomRight" sqref="A1:S1"/>
    </sheetView>
  </sheetViews>
  <sheetFormatPr defaultRowHeight="14.5" x14ac:dyDescent="0.35"/>
  <cols>
    <col min="1" max="1" width="24" customWidth="1"/>
    <col min="2" max="2" width="44" customWidth="1"/>
    <col min="3" max="19" width="11" customWidth="1"/>
  </cols>
  <sheetData>
    <row r="1" spans="1:19" ht="30" customHeight="1" x14ac:dyDescent="0.35">
      <c r="A1" s="119" t="s">
        <v>1248</v>
      </c>
      <c r="B1" s="120"/>
      <c r="C1" s="120"/>
      <c r="D1" s="120"/>
      <c r="E1" s="120"/>
      <c r="F1" s="120"/>
      <c r="G1" s="120"/>
      <c r="H1" s="120"/>
      <c r="I1" s="120"/>
      <c r="J1" s="120"/>
      <c r="K1" s="120"/>
      <c r="L1" s="120"/>
      <c r="M1" s="120"/>
      <c r="N1" s="120"/>
      <c r="O1" s="120"/>
      <c r="P1" s="120"/>
      <c r="Q1" s="120"/>
      <c r="R1" s="120"/>
      <c r="S1" s="120"/>
    </row>
    <row r="2" spans="1:19" ht="18" customHeight="1" x14ac:dyDescent="0.35">
      <c r="A2" s="125" t="s">
        <v>1249</v>
      </c>
      <c r="B2" s="120"/>
      <c r="C2" s="120"/>
      <c r="D2" s="120"/>
      <c r="E2" s="120"/>
      <c r="F2" s="120"/>
      <c r="G2" s="120"/>
      <c r="H2" s="120"/>
      <c r="I2" s="120"/>
      <c r="J2" s="120"/>
      <c r="K2" s="120"/>
      <c r="L2" s="120"/>
      <c r="M2" s="120"/>
      <c r="N2" s="120"/>
      <c r="O2" s="120"/>
      <c r="P2" s="120"/>
      <c r="Q2" s="120"/>
      <c r="R2" s="120"/>
      <c r="S2" s="120"/>
    </row>
    <row r="4" spans="1:19" ht="30" customHeight="1" x14ac:dyDescent="0.35">
      <c r="A4" s="4" t="s">
        <v>130</v>
      </c>
      <c r="B4" s="4" t="s">
        <v>266</v>
      </c>
      <c r="C4" s="4" t="s">
        <v>8</v>
      </c>
      <c r="D4" s="4" t="s">
        <v>502</v>
      </c>
      <c r="E4" s="4" t="s">
        <v>76</v>
      </c>
      <c r="F4" s="4" t="s">
        <v>10</v>
      </c>
      <c r="G4" s="4" t="s">
        <v>728</v>
      </c>
      <c r="H4" s="4" t="s">
        <v>1250</v>
      </c>
      <c r="I4" s="4" t="s">
        <v>834</v>
      </c>
      <c r="J4" s="4" t="s">
        <v>659</v>
      </c>
      <c r="K4" s="4" t="s">
        <v>1125</v>
      </c>
      <c r="L4" s="4" t="s">
        <v>1251</v>
      </c>
      <c r="M4" s="4" t="s">
        <v>296</v>
      </c>
      <c r="N4" s="4" t="s">
        <v>452</v>
      </c>
      <c r="O4" s="4" t="s">
        <v>225</v>
      </c>
      <c r="P4" s="4" t="s">
        <v>436</v>
      </c>
      <c r="Q4" s="4" t="s">
        <v>79</v>
      </c>
      <c r="R4" s="4" t="s">
        <v>94</v>
      </c>
      <c r="S4" s="4" t="s">
        <v>1211</v>
      </c>
    </row>
    <row r="5" spans="1:19" ht="18" customHeight="1" x14ac:dyDescent="0.35">
      <c r="A5" s="23" t="s">
        <v>1252</v>
      </c>
      <c r="B5" s="24" t="s">
        <v>485</v>
      </c>
      <c r="C5" s="25" t="s">
        <v>164</v>
      </c>
      <c r="D5" s="26" t="s">
        <v>161</v>
      </c>
      <c r="E5" s="27" t="s">
        <v>167</v>
      </c>
      <c r="F5" s="28" t="s">
        <v>173</v>
      </c>
      <c r="G5" s="27" t="s">
        <v>167</v>
      </c>
      <c r="H5" s="29"/>
      <c r="I5" s="27" t="s">
        <v>167</v>
      </c>
      <c r="J5" s="29"/>
      <c r="K5" s="29"/>
      <c r="L5" s="29"/>
      <c r="M5" s="27" t="s">
        <v>167</v>
      </c>
      <c r="N5" s="29"/>
      <c r="O5" s="27" t="s">
        <v>167</v>
      </c>
      <c r="P5" s="27" t="s">
        <v>167</v>
      </c>
      <c r="Q5" s="29"/>
      <c r="R5" s="29"/>
      <c r="S5" s="29"/>
    </row>
    <row r="6" spans="1:19" ht="18" customHeight="1" x14ac:dyDescent="0.35">
      <c r="A6" s="30" t="s">
        <v>1252</v>
      </c>
      <c r="B6" s="31" t="s">
        <v>1253</v>
      </c>
      <c r="C6" s="25" t="s">
        <v>164</v>
      </c>
      <c r="D6" s="27" t="s">
        <v>167</v>
      </c>
      <c r="E6" s="27" t="s">
        <v>167</v>
      </c>
      <c r="F6" s="26" t="s">
        <v>161</v>
      </c>
      <c r="G6" s="27" t="s">
        <v>167</v>
      </c>
      <c r="H6" s="32"/>
      <c r="I6" s="27" t="s">
        <v>167</v>
      </c>
      <c r="J6" s="27" t="s">
        <v>167</v>
      </c>
      <c r="K6" s="32"/>
      <c r="L6" s="32"/>
      <c r="M6" s="27" t="s">
        <v>167</v>
      </c>
      <c r="N6" s="27" t="s">
        <v>167</v>
      </c>
      <c r="O6" s="27" t="s">
        <v>167</v>
      </c>
      <c r="P6" s="27" t="s">
        <v>167</v>
      </c>
      <c r="Q6" s="27" t="s">
        <v>167</v>
      </c>
      <c r="R6" s="32"/>
      <c r="S6" s="32"/>
    </row>
    <row r="7" spans="1:19" ht="18" customHeight="1" x14ac:dyDescent="0.35">
      <c r="A7" s="23" t="s">
        <v>1252</v>
      </c>
      <c r="B7" s="24" t="s">
        <v>1254</v>
      </c>
      <c r="C7" s="33" t="s">
        <v>170</v>
      </c>
      <c r="D7" s="33" t="s">
        <v>170</v>
      </c>
      <c r="E7" s="25" t="s">
        <v>164</v>
      </c>
      <c r="F7" s="26" t="s">
        <v>161</v>
      </c>
      <c r="G7" s="27" t="s">
        <v>167</v>
      </c>
      <c r="H7" s="27" t="s">
        <v>167</v>
      </c>
      <c r="I7" s="27" t="s">
        <v>167</v>
      </c>
      <c r="J7" s="27" t="s">
        <v>167</v>
      </c>
      <c r="K7" s="27" t="s">
        <v>167</v>
      </c>
      <c r="L7" s="27" t="s">
        <v>167</v>
      </c>
      <c r="M7" s="27" t="s">
        <v>167</v>
      </c>
      <c r="N7" s="27" t="s">
        <v>167</v>
      </c>
      <c r="O7" s="27" t="s">
        <v>167</v>
      </c>
      <c r="P7" s="27" t="s">
        <v>167</v>
      </c>
      <c r="Q7" s="27" t="s">
        <v>167</v>
      </c>
      <c r="R7" s="29"/>
      <c r="S7" s="29"/>
    </row>
    <row r="8" spans="1:19" ht="18" customHeight="1" x14ac:dyDescent="0.35">
      <c r="A8" s="30" t="s">
        <v>134</v>
      </c>
      <c r="B8" s="31" t="s">
        <v>1255</v>
      </c>
      <c r="C8" s="33" t="s">
        <v>170</v>
      </c>
      <c r="D8" s="33" t="s">
        <v>170</v>
      </c>
      <c r="E8" s="26" t="s">
        <v>161</v>
      </c>
      <c r="F8" s="28" t="s">
        <v>173</v>
      </c>
      <c r="G8" s="27" t="s">
        <v>167</v>
      </c>
      <c r="H8" s="27" t="s">
        <v>167</v>
      </c>
      <c r="I8" s="27" t="s">
        <v>167</v>
      </c>
      <c r="J8" s="27" t="s">
        <v>167</v>
      </c>
      <c r="K8" s="32"/>
      <c r="L8" s="32"/>
      <c r="M8" s="27" t="s">
        <v>167</v>
      </c>
      <c r="N8" s="27" t="s">
        <v>167</v>
      </c>
      <c r="O8" s="27" t="s">
        <v>167</v>
      </c>
      <c r="P8" s="27" t="s">
        <v>167</v>
      </c>
      <c r="Q8" s="27" t="s">
        <v>167</v>
      </c>
      <c r="R8" s="32"/>
      <c r="S8" s="32"/>
    </row>
    <row r="9" spans="1:19" ht="18" customHeight="1" x14ac:dyDescent="0.35">
      <c r="A9" s="23" t="s">
        <v>134</v>
      </c>
      <c r="B9" s="24" t="s">
        <v>1256</v>
      </c>
      <c r="C9" s="25" t="s">
        <v>164</v>
      </c>
      <c r="D9" s="27" t="s">
        <v>167</v>
      </c>
      <c r="E9" s="26" t="s">
        <v>161</v>
      </c>
      <c r="F9" s="28" t="s">
        <v>173</v>
      </c>
      <c r="G9" s="27" t="s">
        <v>167</v>
      </c>
      <c r="H9" s="29"/>
      <c r="I9" s="29"/>
      <c r="J9" s="27" t="s">
        <v>167</v>
      </c>
      <c r="K9" s="29"/>
      <c r="L9" s="29"/>
      <c r="M9" s="29"/>
      <c r="N9" s="29"/>
      <c r="O9" s="27" t="s">
        <v>167</v>
      </c>
      <c r="P9" s="29"/>
      <c r="Q9" s="27" t="s">
        <v>167</v>
      </c>
      <c r="R9" s="29"/>
      <c r="S9" s="29"/>
    </row>
    <row r="10" spans="1:19" ht="18" customHeight="1" x14ac:dyDescent="0.35">
      <c r="A10" s="30" t="s">
        <v>134</v>
      </c>
      <c r="B10" s="31" t="s">
        <v>1257</v>
      </c>
      <c r="C10" s="25" t="s">
        <v>164</v>
      </c>
      <c r="D10" s="27" t="s">
        <v>167</v>
      </c>
      <c r="E10" s="26" t="s">
        <v>161</v>
      </c>
      <c r="F10" s="28" t="s">
        <v>173</v>
      </c>
      <c r="G10" s="27" t="s">
        <v>167</v>
      </c>
      <c r="H10" s="32"/>
      <c r="I10" s="27" t="s">
        <v>167</v>
      </c>
      <c r="J10" s="27" t="s">
        <v>167</v>
      </c>
      <c r="K10" s="27" t="s">
        <v>167</v>
      </c>
      <c r="L10" s="27" t="s">
        <v>167</v>
      </c>
      <c r="M10" s="27" t="s">
        <v>167</v>
      </c>
      <c r="N10" s="32"/>
      <c r="O10" s="32"/>
      <c r="P10" s="32"/>
      <c r="Q10" s="32"/>
      <c r="R10" s="32"/>
      <c r="S10" s="32"/>
    </row>
    <row r="11" spans="1:19" ht="18" customHeight="1" x14ac:dyDescent="0.35">
      <c r="A11" s="23" t="s">
        <v>134</v>
      </c>
      <c r="B11" s="24" t="s">
        <v>1258</v>
      </c>
      <c r="C11" s="33" t="s">
        <v>170</v>
      </c>
      <c r="D11" s="33" t="s">
        <v>170</v>
      </c>
      <c r="E11" s="25" t="s">
        <v>164</v>
      </c>
      <c r="F11" s="28" t="s">
        <v>173</v>
      </c>
      <c r="G11" s="26" t="s">
        <v>161</v>
      </c>
      <c r="H11" s="27" t="s">
        <v>167</v>
      </c>
      <c r="I11" s="27" t="s">
        <v>167</v>
      </c>
      <c r="J11" s="27" t="s">
        <v>167</v>
      </c>
      <c r="K11" s="27" t="s">
        <v>167</v>
      </c>
      <c r="L11" s="29"/>
      <c r="M11" s="27" t="s">
        <v>167</v>
      </c>
      <c r="N11" s="27" t="s">
        <v>167</v>
      </c>
      <c r="O11" s="29"/>
      <c r="P11" s="29"/>
      <c r="Q11" s="29"/>
      <c r="R11" s="29"/>
      <c r="S11" s="29"/>
    </row>
    <row r="12" spans="1:19" ht="18" customHeight="1" x14ac:dyDescent="0.35">
      <c r="A12" s="30" t="s">
        <v>134</v>
      </c>
      <c r="B12" s="31" t="s">
        <v>1259</v>
      </c>
      <c r="C12" s="33" t="s">
        <v>170</v>
      </c>
      <c r="D12" s="33" t="s">
        <v>170</v>
      </c>
      <c r="E12" s="25" t="s">
        <v>164</v>
      </c>
      <c r="F12" s="28" t="s">
        <v>173</v>
      </c>
      <c r="G12" s="27" t="s">
        <v>167</v>
      </c>
      <c r="H12" s="27" t="s">
        <v>167</v>
      </c>
      <c r="I12" s="32"/>
      <c r="J12" s="26" t="s">
        <v>161</v>
      </c>
      <c r="K12" s="32"/>
      <c r="L12" s="32"/>
      <c r="M12" s="32"/>
      <c r="N12" s="32"/>
      <c r="O12" s="32"/>
      <c r="P12" s="27" t="s">
        <v>167</v>
      </c>
      <c r="Q12" s="27" t="s">
        <v>167</v>
      </c>
      <c r="R12" s="32"/>
      <c r="S12" s="32"/>
    </row>
    <row r="13" spans="1:19" ht="18" customHeight="1" x14ac:dyDescent="0.35">
      <c r="A13" s="23" t="s">
        <v>134</v>
      </c>
      <c r="B13" s="24" t="s">
        <v>1260</v>
      </c>
      <c r="C13" s="25" t="s">
        <v>164</v>
      </c>
      <c r="D13" s="27" t="s">
        <v>167</v>
      </c>
      <c r="E13" s="27" t="s">
        <v>167</v>
      </c>
      <c r="F13" s="28" t="s">
        <v>173</v>
      </c>
      <c r="G13" s="29"/>
      <c r="H13" s="29"/>
      <c r="I13" s="29"/>
      <c r="J13" s="29"/>
      <c r="K13" s="29"/>
      <c r="L13" s="29"/>
      <c r="M13" s="27" t="s">
        <v>167</v>
      </c>
      <c r="N13" s="29"/>
      <c r="O13" s="26" t="s">
        <v>161</v>
      </c>
      <c r="P13" s="29"/>
      <c r="Q13" s="29"/>
      <c r="R13" s="29"/>
      <c r="S13" s="29"/>
    </row>
    <row r="14" spans="1:19" ht="18" customHeight="1" x14ac:dyDescent="0.35">
      <c r="A14" s="30" t="s">
        <v>134</v>
      </c>
      <c r="B14" s="31" t="s">
        <v>1261</v>
      </c>
      <c r="C14" s="25" t="s">
        <v>164</v>
      </c>
      <c r="D14" s="27" t="s">
        <v>167</v>
      </c>
      <c r="E14" s="27" t="s">
        <v>167</v>
      </c>
      <c r="F14" s="26" t="s">
        <v>161</v>
      </c>
      <c r="G14" s="27" t="s">
        <v>167</v>
      </c>
      <c r="H14" s="32"/>
      <c r="I14" s="32"/>
      <c r="J14" s="32"/>
      <c r="K14" s="32"/>
      <c r="L14" s="32"/>
      <c r="M14" s="32"/>
      <c r="N14" s="32"/>
      <c r="O14" s="27" t="s">
        <v>167</v>
      </c>
      <c r="P14" s="27" t="s">
        <v>167</v>
      </c>
      <c r="Q14" s="27" t="s">
        <v>167</v>
      </c>
      <c r="R14" s="32"/>
      <c r="S14" s="32"/>
    </row>
    <row r="15" spans="1:19" ht="18" customHeight="1" x14ac:dyDescent="0.35">
      <c r="A15" s="23" t="s">
        <v>138</v>
      </c>
      <c r="B15" s="24" t="s">
        <v>1262</v>
      </c>
      <c r="C15" s="33" t="s">
        <v>170</v>
      </c>
      <c r="D15" s="33" t="s">
        <v>170</v>
      </c>
      <c r="E15" s="27" t="s">
        <v>167</v>
      </c>
      <c r="F15" s="28" t="s">
        <v>173</v>
      </c>
      <c r="G15" s="27" t="s">
        <v>167</v>
      </c>
      <c r="H15" s="29"/>
      <c r="I15" s="29"/>
      <c r="J15" s="27" t="s">
        <v>167</v>
      </c>
      <c r="K15" s="27" t="s">
        <v>167</v>
      </c>
      <c r="L15" s="27" t="s">
        <v>167</v>
      </c>
      <c r="M15" s="25" t="s">
        <v>164</v>
      </c>
      <c r="N15" s="29"/>
      <c r="O15" s="26" t="s">
        <v>161</v>
      </c>
      <c r="P15" s="29"/>
      <c r="Q15" s="29"/>
      <c r="R15" s="29"/>
      <c r="S15" s="29"/>
    </row>
    <row r="16" spans="1:19" ht="18" customHeight="1" x14ac:dyDescent="0.35">
      <c r="A16" s="30" t="s">
        <v>138</v>
      </c>
      <c r="B16" s="31" t="s">
        <v>1263</v>
      </c>
      <c r="C16" s="33" t="s">
        <v>170</v>
      </c>
      <c r="D16" s="27" t="s">
        <v>167</v>
      </c>
      <c r="E16" s="27" t="s">
        <v>167</v>
      </c>
      <c r="F16" s="28" t="s">
        <v>173</v>
      </c>
      <c r="G16" s="32"/>
      <c r="H16" s="32"/>
      <c r="I16" s="32"/>
      <c r="J16" s="32"/>
      <c r="K16" s="27" t="s">
        <v>167</v>
      </c>
      <c r="L16" s="26" t="s">
        <v>161</v>
      </c>
      <c r="M16" s="25" t="s">
        <v>164</v>
      </c>
      <c r="N16" s="32"/>
      <c r="O16" s="27" t="s">
        <v>167</v>
      </c>
      <c r="P16" s="32"/>
      <c r="Q16" s="32"/>
      <c r="R16" s="32"/>
      <c r="S16" s="32"/>
    </row>
    <row r="17" spans="1:19" ht="18" customHeight="1" x14ac:dyDescent="0.35">
      <c r="A17" s="23" t="s">
        <v>138</v>
      </c>
      <c r="B17" s="24" t="s">
        <v>1264</v>
      </c>
      <c r="C17" s="25" t="s">
        <v>164</v>
      </c>
      <c r="D17" s="27" t="s">
        <v>167</v>
      </c>
      <c r="E17" s="27" t="s">
        <v>167</v>
      </c>
      <c r="F17" s="28" t="s">
        <v>173</v>
      </c>
      <c r="G17" s="29"/>
      <c r="H17" s="29"/>
      <c r="I17" s="29"/>
      <c r="J17" s="29"/>
      <c r="K17" s="29"/>
      <c r="L17" s="29"/>
      <c r="M17" s="27" t="s">
        <v>167</v>
      </c>
      <c r="N17" s="27" t="s">
        <v>167</v>
      </c>
      <c r="O17" s="26" t="s">
        <v>161</v>
      </c>
      <c r="P17" s="29"/>
      <c r="Q17" s="29"/>
      <c r="R17" s="29"/>
      <c r="S17" s="29"/>
    </row>
    <row r="18" spans="1:19" ht="18" customHeight="1" x14ac:dyDescent="0.35">
      <c r="A18" s="30" t="s">
        <v>138</v>
      </c>
      <c r="B18" s="31" t="s">
        <v>1265</v>
      </c>
      <c r="C18" s="25" t="s">
        <v>164</v>
      </c>
      <c r="D18" s="27" t="s">
        <v>167</v>
      </c>
      <c r="E18" s="26" t="s">
        <v>161</v>
      </c>
      <c r="F18" s="28" t="s">
        <v>173</v>
      </c>
      <c r="G18" s="32"/>
      <c r="H18" s="32"/>
      <c r="I18" s="27" t="s">
        <v>167</v>
      </c>
      <c r="J18" s="27" t="s">
        <v>167</v>
      </c>
      <c r="K18" s="32"/>
      <c r="L18" s="32"/>
      <c r="M18" s="27" t="s">
        <v>167</v>
      </c>
      <c r="N18" s="32"/>
      <c r="O18" s="27" t="s">
        <v>167</v>
      </c>
      <c r="P18" s="27" t="s">
        <v>167</v>
      </c>
      <c r="Q18" s="27" t="s">
        <v>167</v>
      </c>
      <c r="R18" s="32"/>
      <c r="S18" s="32"/>
    </row>
    <row r="19" spans="1:19" ht="18" customHeight="1" x14ac:dyDescent="0.35">
      <c r="A19" s="23" t="s">
        <v>138</v>
      </c>
      <c r="B19" s="24" t="s">
        <v>1266</v>
      </c>
      <c r="C19" s="33" t="s">
        <v>170</v>
      </c>
      <c r="D19" s="33" t="s">
        <v>170</v>
      </c>
      <c r="E19" s="27" t="s">
        <v>167</v>
      </c>
      <c r="F19" s="28" t="s">
        <v>173</v>
      </c>
      <c r="G19" s="27" t="s">
        <v>167</v>
      </c>
      <c r="H19" s="27" t="s">
        <v>167</v>
      </c>
      <c r="I19" s="26" t="s">
        <v>161</v>
      </c>
      <c r="J19" s="29"/>
      <c r="K19" s="27" t="s">
        <v>167</v>
      </c>
      <c r="L19" s="29"/>
      <c r="M19" s="27" t="s">
        <v>167</v>
      </c>
      <c r="N19" s="27" t="s">
        <v>167</v>
      </c>
      <c r="O19" s="29"/>
      <c r="P19" s="25" t="s">
        <v>164</v>
      </c>
      <c r="Q19" s="29"/>
      <c r="R19" s="29"/>
      <c r="S19" s="29"/>
    </row>
    <row r="20" spans="1:19" ht="18" customHeight="1" x14ac:dyDescent="0.35">
      <c r="A20" s="30" t="s">
        <v>138</v>
      </c>
      <c r="B20" s="31" t="s">
        <v>1267</v>
      </c>
      <c r="C20" s="33" t="s">
        <v>170</v>
      </c>
      <c r="D20" s="27" t="s">
        <v>167</v>
      </c>
      <c r="E20" s="27" t="s">
        <v>167</v>
      </c>
      <c r="F20" s="28" t="s">
        <v>173</v>
      </c>
      <c r="G20" s="27" t="s">
        <v>167</v>
      </c>
      <c r="H20" s="27" t="s">
        <v>167</v>
      </c>
      <c r="I20" s="27" t="s">
        <v>167</v>
      </c>
      <c r="J20" s="32"/>
      <c r="K20" s="27" t="s">
        <v>167</v>
      </c>
      <c r="L20" s="32"/>
      <c r="M20" s="27" t="s">
        <v>167</v>
      </c>
      <c r="N20" s="26" t="s">
        <v>161</v>
      </c>
      <c r="O20" s="32"/>
      <c r="P20" s="25" t="s">
        <v>164</v>
      </c>
      <c r="Q20" s="32"/>
      <c r="R20" s="32"/>
      <c r="S20" s="32"/>
    </row>
    <row r="21" spans="1:19" ht="18" customHeight="1" x14ac:dyDescent="0.35">
      <c r="A21" s="23" t="s">
        <v>138</v>
      </c>
      <c r="B21" s="24" t="s">
        <v>1268</v>
      </c>
      <c r="C21" s="33" t="s">
        <v>170</v>
      </c>
      <c r="D21" s="33" t="s">
        <v>170</v>
      </c>
      <c r="E21" s="27" t="s">
        <v>167</v>
      </c>
      <c r="F21" s="28" t="s">
        <v>173</v>
      </c>
      <c r="G21" s="26" t="s">
        <v>161</v>
      </c>
      <c r="H21" s="27" t="s">
        <v>167</v>
      </c>
      <c r="I21" s="27" t="s">
        <v>167</v>
      </c>
      <c r="J21" s="29"/>
      <c r="K21" s="27" t="s">
        <v>167</v>
      </c>
      <c r="L21" s="29"/>
      <c r="M21" s="27" t="s">
        <v>167</v>
      </c>
      <c r="N21" s="27" t="s">
        <v>167</v>
      </c>
      <c r="O21" s="29"/>
      <c r="P21" s="25" t="s">
        <v>164</v>
      </c>
      <c r="Q21" s="29"/>
      <c r="R21" s="29"/>
      <c r="S21" s="29"/>
    </row>
    <row r="22" spans="1:19" ht="18" customHeight="1" x14ac:dyDescent="0.35">
      <c r="A22" s="30" t="s">
        <v>138</v>
      </c>
      <c r="B22" s="31" t="s">
        <v>1269</v>
      </c>
      <c r="C22" s="33" t="s">
        <v>170</v>
      </c>
      <c r="D22" s="33" t="s">
        <v>170</v>
      </c>
      <c r="E22" s="25" t="s">
        <v>164</v>
      </c>
      <c r="F22" s="28" t="s">
        <v>173</v>
      </c>
      <c r="G22" s="27" t="s">
        <v>167</v>
      </c>
      <c r="H22" s="27" t="s">
        <v>167</v>
      </c>
      <c r="I22" s="32"/>
      <c r="J22" s="26" t="s">
        <v>161</v>
      </c>
      <c r="K22" s="32"/>
      <c r="L22" s="32"/>
      <c r="M22" s="32"/>
      <c r="N22" s="32"/>
      <c r="O22" s="32"/>
      <c r="P22" s="27" t="s">
        <v>167</v>
      </c>
      <c r="Q22" s="27" t="s">
        <v>167</v>
      </c>
      <c r="R22" s="32"/>
      <c r="S22" s="32"/>
    </row>
    <row r="23" spans="1:19" ht="18" customHeight="1" x14ac:dyDescent="0.35">
      <c r="A23" s="23" t="s">
        <v>142</v>
      </c>
      <c r="B23" s="24" t="s">
        <v>1270</v>
      </c>
      <c r="C23" s="33" t="s">
        <v>170</v>
      </c>
      <c r="D23" s="33" t="s">
        <v>170</v>
      </c>
      <c r="E23" s="25" t="s">
        <v>164</v>
      </c>
      <c r="F23" s="28" t="s">
        <v>173</v>
      </c>
      <c r="G23" s="26" t="s">
        <v>161</v>
      </c>
      <c r="H23" s="27" t="s">
        <v>167</v>
      </c>
      <c r="I23" s="27" t="s">
        <v>167</v>
      </c>
      <c r="J23" s="27" t="s">
        <v>167</v>
      </c>
      <c r="K23" s="27" t="s">
        <v>167</v>
      </c>
      <c r="L23" s="27" t="s">
        <v>167</v>
      </c>
      <c r="M23" s="27" t="s">
        <v>167</v>
      </c>
      <c r="N23" s="27" t="s">
        <v>167</v>
      </c>
      <c r="O23" s="29"/>
      <c r="P23" s="29"/>
      <c r="Q23" s="29"/>
      <c r="R23" s="29"/>
      <c r="S23" s="29"/>
    </row>
    <row r="24" spans="1:19" ht="18" customHeight="1" x14ac:dyDescent="0.35">
      <c r="A24" s="30" t="s">
        <v>142</v>
      </c>
      <c r="B24" s="31" t="s">
        <v>1271</v>
      </c>
      <c r="C24" s="33" t="s">
        <v>170</v>
      </c>
      <c r="D24" s="33" t="s">
        <v>170</v>
      </c>
      <c r="E24" s="27" t="s">
        <v>167</v>
      </c>
      <c r="F24" s="28" t="s">
        <v>173</v>
      </c>
      <c r="G24" s="27" t="s">
        <v>167</v>
      </c>
      <c r="H24" s="27" t="s">
        <v>167</v>
      </c>
      <c r="I24" s="26" t="s">
        <v>161</v>
      </c>
      <c r="J24" s="27" t="s">
        <v>167</v>
      </c>
      <c r="K24" s="27" t="s">
        <v>167</v>
      </c>
      <c r="L24" s="32"/>
      <c r="M24" s="32"/>
      <c r="N24" s="27" t="s">
        <v>167</v>
      </c>
      <c r="O24" s="32"/>
      <c r="P24" s="25" t="s">
        <v>164</v>
      </c>
      <c r="Q24" s="32"/>
      <c r="R24" s="32"/>
      <c r="S24" s="32"/>
    </row>
    <row r="25" spans="1:19" ht="18" customHeight="1" x14ac:dyDescent="0.35">
      <c r="A25" s="23" t="s">
        <v>142</v>
      </c>
      <c r="B25" s="24" t="s">
        <v>1272</v>
      </c>
      <c r="C25" s="33" t="s">
        <v>170</v>
      </c>
      <c r="D25" s="33" t="s">
        <v>170</v>
      </c>
      <c r="E25" s="25" t="s">
        <v>164</v>
      </c>
      <c r="F25" s="28" t="s">
        <v>173</v>
      </c>
      <c r="G25" s="27" t="s">
        <v>167</v>
      </c>
      <c r="H25" s="26" t="s">
        <v>161</v>
      </c>
      <c r="I25" s="27" t="s">
        <v>167</v>
      </c>
      <c r="J25" s="27" t="s">
        <v>167</v>
      </c>
      <c r="K25" s="29"/>
      <c r="L25" s="29"/>
      <c r="M25" s="29"/>
      <c r="N25" s="27" t="s">
        <v>167</v>
      </c>
      <c r="O25" s="29"/>
      <c r="P25" s="27" t="s">
        <v>167</v>
      </c>
      <c r="Q25" s="29"/>
      <c r="R25" s="29"/>
      <c r="S25" s="29"/>
    </row>
    <row r="26" spans="1:19" ht="18" customHeight="1" x14ac:dyDescent="0.35">
      <c r="A26" s="30" t="s">
        <v>142</v>
      </c>
      <c r="B26" s="31" t="s">
        <v>1273</v>
      </c>
      <c r="C26" s="33" t="s">
        <v>170</v>
      </c>
      <c r="D26" s="33" t="s">
        <v>170</v>
      </c>
      <c r="E26" s="25" t="s">
        <v>164</v>
      </c>
      <c r="F26" s="28" t="s">
        <v>173</v>
      </c>
      <c r="G26" s="26" t="s">
        <v>161</v>
      </c>
      <c r="H26" s="27" t="s">
        <v>167</v>
      </c>
      <c r="I26" s="27" t="s">
        <v>167</v>
      </c>
      <c r="J26" s="32"/>
      <c r="K26" s="32"/>
      <c r="L26" s="32"/>
      <c r="M26" s="32"/>
      <c r="N26" s="27" t="s">
        <v>167</v>
      </c>
      <c r="O26" s="32"/>
      <c r="P26" s="32"/>
      <c r="Q26" s="32"/>
      <c r="R26" s="32"/>
      <c r="S26" s="32"/>
    </row>
    <row r="27" spans="1:19" ht="18" customHeight="1" x14ac:dyDescent="0.35">
      <c r="A27" s="23" t="s">
        <v>142</v>
      </c>
      <c r="B27" s="24" t="s">
        <v>1274</v>
      </c>
      <c r="C27" s="33" t="s">
        <v>170</v>
      </c>
      <c r="D27" s="27" t="s">
        <v>167</v>
      </c>
      <c r="E27" s="27" t="s">
        <v>167</v>
      </c>
      <c r="F27" s="28" t="s">
        <v>173</v>
      </c>
      <c r="G27" s="27" t="s">
        <v>167</v>
      </c>
      <c r="H27" s="27" t="s">
        <v>167</v>
      </c>
      <c r="I27" s="27" t="s">
        <v>167</v>
      </c>
      <c r="J27" s="29"/>
      <c r="K27" s="27" t="s">
        <v>167</v>
      </c>
      <c r="L27" s="29"/>
      <c r="M27" s="29"/>
      <c r="N27" s="26" t="s">
        <v>161</v>
      </c>
      <c r="O27" s="29"/>
      <c r="P27" s="25" t="s">
        <v>164</v>
      </c>
      <c r="Q27" s="29"/>
      <c r="R27" s="29"/>
      <c r="S27" s="29"/>
    </row>
    <row r="28" spans="1:19" ht="18" customHeight="1" x14ac:dyDescent="0.35">
      <c r="A28" s="30" t="s">
        <v>146</v>
      </c>
      <c r="B28" s="31" t="s">
        <v>811</v>
      </c>
      <c r="C28" s="33" t="s">
        <v>170</v>
      </c>
      <c r="D28" s="33" t="s">
        <v>170</v>
      </c>
      <c r="E28" s="25" t="s">
        <v>164</v>
      </c>
      <c r="F28" s="28" t="s">
        <v>173</v>
      </c>
      <c r="G28" s="26" t="s">
        <v>161</v>
      </c>
      <c r="H28" s="27" t="s">
        <v>167</v>
      </c>
      <c r="I28" s="32"/>
      <c r="J28" s="27" t="s">
        <v>167</v>
      </c>
      <c r="K28" s="32"/>
      <c r="L28" s="32"/>
      <c r="M28" s="32"/>
      <c r="N28" s="27" t="s">
        <v>167</v>
      </c>
      <c r="O28" s="32"/>
      <c r="P28" s="32"/>
      <c r="Q28" s="27" t="s">
        <v>167</v>
      </c>
      <c r="R28" s="32"/>
      <c r="S28" s="32"/>
    </row>
    <row r="29" spans="1:19" ht="18" customHeight="1" x14ac:dyDescent="0.35">
      <c r="A29" s="23" t="s">
        <v>146</v>
      </c>
      <c r="B29" s="24" t="s">
        <v>1275</v>
      </c>
      <c r="C29" s="33" t="s">
        <v>170</v>
      </c>
      <c r="D29" s="33" t="s">
        <v>170</v>
      </c>
      <c r="E29" s="25" t="s">
        <v>164</v>
      </c>
      <c r="F29" s="28" t="s">
        <v>173</v>
      </c>
      <c r="G29" s="26" t="s">
        <v>161</v>
      </c>
      <c r="H29" s="27" t="s">
        <v>167</v>
      </c>
      <c r="I29" s="27" t="s">
        <v>167</v>
      </c>
      <c r="J29" s="27" t="s">
        <v>167</v>
      </c>
      <c r="K29" s="29"/>
      <c r="L29" s="29"/>
      <c r="M29" s="29"/>
      <c r="N29" s="27" t="s">
        <v>167</v>
      </c>
      <c r="O29" s="29"/>
      <c r="P29" s="29"/>
      <c r="Q29" s="29"/>
      <c r="R29" s="29"/>
      <c r="S29" s="29"/>
    </row>
    <row r="30" spans="1:19" ht="18" customHeight="1" x14ac:dyDescent="0.35">
      <c r="A30" s="30" t="s">
        <v>146</v>
      </c>
      <c r="B30" s="31" t="s">
        <v>1276</v>
      </c>
      <c r="C30" s="33" t="s">
        <v>170</v>
      </c>
      <c r="D30" s="27" t="s">
        <v>167</v>
      </c>
      <c r="E30" s="27" t="s">
        <v>167</v>
      </c>
      <c r="F30" s="28" t="s">
        <v>173</v>
      </c>
      <c r="G30" s="27" t="s">
        <v>167</v>
      </c>
      <c r="H30" s="32"/>
      <c r="I30" s="27" t="s">
        <v>167</v>
      </c>
      <c r="J30" s="32"/>
      <c r="K30" s="26" t="s">
        <v>161</v>
      </c>
      <c r="L30" s="27" t="s">
        <v>167</v>
      </c>
      <c r="M30" s="27" t="s">
        <v>167</v>
      </c>
      <c r="N30" s="25" t="s">
        <v>164</v>
      </c>
      <c r="O30" s="32"/>
      <c r="P30" s="27" t="s">
        <v>167</v>
      </c>
      <c r="Q30" s="32"/>
      <c r="R30" s="32"/>
      <c r="S30" s="32"/>
    </row>
    <row r="31" spans="1:19" ht="18" customHeight="1" x14ac:dyDescent="0.35">
      <c r="A31" s="23" t="s">
        <v>146</v>
      </c>
      <c r="B31" s="24" t="s">
        <v>1277</v>
      </c>
      <c r="C31" s="33" t="s">
        <v>170</v>
      </c>
      <c r="D31" s="27" t="s">
        <v>167</v>
      </c>
      <c r="E31" s="27" t="s">
        <v>167</v>
      </c>
      <c r="F31" s="28" t="s">
        <v>173</v>
      </c>
      <c r="G31" s="27" t="s">
        <v>167</v>
      </c>
      <c r="H31" s="27" t="s">
        <v>167</v>
      </c>
      <c r="I31" s="27" t="s">
        <v>167</v>
      </c>
      <c r="J31" s="27" t="s">
        <v>167</v>
      </c>
      <c r="K31" s="29"/>
      <c r="L31" s="29"/>
      <c r="M31" s="29"/>
      <c r="N31" s="27" t="s">
        <v>167</v>
      </c>
      <c r="O31" s="29"/>
      <c r="P31" s="26" t="s">
        <v>161</v>
      </c>
      <c r="Q31" s="29"/>
      <c r="R31" s="29"/>
      <c r="S31" s="29"/>
    </row>
    <row r="32" spans="1:19" ht="18" customHeight="1" x14ac:dyDescent="0.35">
      <c r="A32" s="30" t="s">
        <v>146</v>
      </c>
      <c r="B32" s="31" t="s">
        <v>1278</v>
      </c>
      <c r="C32" s="25" t="s">
        <v>164</v>
      </c>
      <c r="D32" s="26" t="s">
        <v>161</v>
      </c>
      <c r="E32" s="27" t="s">
        <v>167</v>
      </c>
      <c r="F32" s="28" t="s">
        <v>173</v>
      </c>
      <c r="G32" s="27" t="s">
        <v>167</v>
      </c>
      <c r="H32" s="32"/>
      <c r="I32" s="27" t="s">
        <v>167</v>
      </c>
      <c r="J32" s="27" t="s">
        <v>167</v>
      </c>
      <c r="K32" s="32"/>
      <c r="L32" s="32"/>
      <c r="M32" s="32"/>
      <c r="N32" s="32"/>
      <c r="O32" s="32"/>
      <c r="P32" s="27" t="s">
        <v>167</v>
      </c>
      <c r="Q32" s="32"/>
      <c r="R32" s="32"/>
      <c r="S32" s="32"/>
    </row>
    <row r="33" spans="1:19" ht="18" customHeight="1" x14ac:dyDescent="0.35">
      <c r="A33" s="23" t="s">
        <v>146</v>
      </c>
      <c r="B33" s="24" t="s">
        <v>1279</v>
      </c>
      <c r="C33" s="33" t="s">
        <v>170</v>
      </c>
      <c r="D33" s="33" t="s">
        <v>170</v>
      </c>
      <c r="E33" s="27" t="s">
        <v>167</v>
      </c>
      <c r="F33" s="28" t="s">
        <v>173</v>
      </c>
      <c r="G33" s="27" t="s">
        <v>167</v>
      </c>
      <c r="H33" s="27" t="s">
        <v>167</v>
      </c>
      <c r="I33" s="26" t="s">
        <v>161</v>
      </c>
      <c r="J33" s="29"/>
      <c r="K33" s="27" t="s">
        <v>167</v>
      </c>
      <c r="L33" s="27" t="s">
        <v>167</v>
      </c>
      <c r="M33" s="27" t="s">
        <v>167</v>
      </c>
      <c r="N33" s="27" t="s">
        <v>167</v>
      </c>
      <c r="O33" s="29"/>
      <c r="P33" s="29"/>
      <c r="Q33" s="29"/>
      <c r="R33" s="29"/>
      <c r="S33" s="29"/>
    </row>
    <row r="34" spans="1:19" ht="18" customHeight="1" x14ac:dyDescent="0.35">
      <c r="A34" s="30" t="s">
        <v>146</v>
      </c>
      <c r="B34" s="31" t="s">
        <v>1280</v>
      </c>
      <c r="C34" s="25" t="s">
        <v>164</v>
      </c>
      <c r="D34" s="26" t="s">
        <v>161</v>
      </c>
      <c r="E34" s="27" t="s">
        <v>167</v>
      </c>
      <c r="F34" s="28" t="s">
        <v>173</v>
      </c>
      <c r="G34" s="27" t="s">
        <v>167</v>
      </c>
      <c r="H34" s="32"/>
      <c r="I34" s="27" t="s">
        <v>167</v>
      </c>
      <c r="J34" s="32"/>
      <c r="K34" s="27" t="s">
        <v>167</v>
      </c>
      <c r="L34" s="27" t="s">
        <v>167</v>
      </c>
      <c r="M34" s="27" t="s">
        <v>167</v>
      </c>
      <c r="N34" s="27" t="s">
        <v>167</v>
      </c>
      <c r="O34" s="27" t="s">
        <v>167</v>
      </c>
      <c r="P34" s="27" t="s">
        <v>167</v>
      </c>
      <c r="Q34" s="27" t="s">
        <v>167</v>
      </c>
      <c r="R34" s="32"/>
      <c r="S34" s="32"/>
    </row>
    <row r="35" spans="1:19" ht="18" customHeight="1" x14ac:dyDescent="0.35">
      <c r="A35" s="23" t="s">
        <v>150</v>
      </c>
      <c r="B35" s="24" t="s">
        <v>1281</v>
      </c>
      <c r="C35" s="33" t="s">
        <v>170</v>
      </c>
      <c r="D35" s="27" t="s">
        <v>167</v>
      </c>
      <c r="E35" s="27" t="s">
        <v>167</v>
      </c>
      <c r="F35" s="28" t="s">
        <v>173</v>
      </c>
      <c r="G35" s="27" t="s">
        <v>167</v>
      </c>
      <c r="H35" s="27" t="s">
        <v>167</v>
      </c>
      <c r="I35" s="27" t="s">
        <v>167</v>
      </c>
      <c r="J35" s="29"/>
      <c r="K35" s="26" t="s">
        <v>161</v>
      </c>
      <c r="L35" s="26" t="s">
        <v>161</v>
      </c>
      <c r="M35" s="27" t="s">
        <v>167</v>
      </c>
      <c r="N35" s="27" t="s">
        <v>167</v>
      </c>
      <c r="O35" s="29"/>
      <c r="P35" s="29"/>
      <c r="Q35" s="29"/>
      <c r="R35" s="29"/>
      <c r="S35" s="29"/>
    </row>
    <row r="36" spans="1:19" ht="18" customHeight="1" x14ac:dyDescent="0.35">
      <c r="A36" s="30" t="s">
        <v>150</v>
      </c>
      <c r="B36" s="31" t="s">
        <v>1282</v>
      </c>
      <c r="C36" s="33" t="s">
        <v>170</v>
      </c>
      <c r="D36" s="27" t="s">
        <v>167</v>
      </c>
      <c r="E36" s="25" t="s">
        <v>164</v>
      </c>
      <c r="F36" s="26" t="s">
        <v>161</v>
      </c>
      <c r="G36" s="27" t="s">
        <v>167</v>
      </c>
      <c r="H36" s="32"/>
      <c r="I36" s="27" t="s">
        <v>167</v>
      </c>
      <c r="J36" s="32"/>
      <c r="K36" s="26" t="s">
        <v>161</v>
      </c>
      <c r="L36" s="26" t="s">
        <v>161</v>
      </c>
      <c r="M36" s="27" t="s">
        <v>167</v>
      </c>
      <c r="N36" s="27" t="s">
        <v>167</v>
      </c>
      <c r="O36" s="27" t="s">
        <v>167</v>
      </c>
      <c r="P36" s="32"/>
      <c r="Q36" s="27" t="s">
        <v>167</v>
      </c>
      <c r="R36" s="32"/>
      <c r="S36" s="32"/>
    </row>
    <row r="37" spans="1:19" ht="18" customHeight="1" x14ac:dyDescent="0.35">
      <c r="A37" s="23" t="s">
        <v>150</v>
      </c>
      <c r="B37" s="24" t="s">
        <v>1283</v>
      </c>
      <c r="C37" s="33" t="s">
        <v>170</v>
      </c>
      <c r="D37" s="33" t="s">
        <v>170</v>
      </c>
      <c r="E37" s="25" t="s">
        <v>164</v>
      </c>
      <c r="F37" s="28" t="s">
        <v>173</v>
      </c>
      <c r="G37" s="27" t="s">
        <v>167</v>
      </c>
      <c r="H37" s="29"/>
      <c r="I37" s="29"/>
      <c r="J37" s="27" t="s">
        <v>167</v>
      </c>
      <c r="K37" s="29"/>
      <c r="L37" s="29"/>
      <c r="M37" s="29"/>
      <c r="N37" s="29"/>
      <c r="O37" s="27" t="s">
        <v>167</v>
      </c>
      <c r="P37" s="29"/>
      <c r="Q37" s="26" t="s">
        <v>161</v>
      </c>
      <c r="R37" s="29"/>
      <c r="S37" s="29"/>
    </row>
    <row r="38" spans="1:19" ht="18" customHeight="1" x14ac:dyDescent="0.35">
      <c r="A38" s="30" t="s">
        <v>154</v>
      </c>
      <c r="B38" s="31" t="s">
        <v>1284</v>
      </c>
      <c r="C38" s="33" t="s">
        <v>170</v>
      </c>
      <c r="D38" s="27" t="s">
        <v>167</v>
      </c>
      <c r="E38" s="25" t="s">
        <v>164</v>
      </c>
      <c r="F38" s="28" t="s">
        <v>173</v>
      </c>
      <c r="G38" s="27" t="s">
        <v>167</v>
      </c>
      <c r="H38" s="32"/>
      <c r="I38" s="27" t="s">
        <v>167</v>
      </c>
      <c r="J38" s="27" t="s">
        <v>167</v>
      </c>
      <c r="K38" s="27" t="s">
        <v>167</v>
      </c>
      <c r="L38" s="27" t="s">
        <v>167</v>
      </c>
      <c r="M38" s="27" t="s">
        <v>167</v>
      </c>
      <c r="N38" s="27" t="s">
        <v>167</v>
      </c>
      <c r="O38" s="27" t="s">
        <v>167</v>
      </c>
      <c r="P38" s="32"/>
      <c r="Q38" s="27" t="s">
        <v>167</v>
      </c>
      <c r="R38" s="32"/>
      <c r="S38" s="32"/>
    </row>
    <row r="39" spans="1:19" ht="18" customHeight="1" x14ac:dyDescent="0.35">
      <c r="A39" s="23" t="s">
        <v>154</v>
      </c>
      <c r="B39" s="24" t="s">
        <v>1285</v>
      </c>
      <c r="C39" s="25" t="s">
        <v>164</v>
      </c>
      <c r="D39" s="27" t="s">
        <v>167</v>
      </c>
      <c r="E39" s="26" t="s">
        <v>161</v>
      </c>
      <c r="F39" s="28" t="s">
        <v>173</v>
      </c>
      <c r="G39" s="27" t="s">
        <v>167</v>
      </c>
      <c r="H39" s="29"/>
      <c r="I39" s="29"/>
      <c r="J39" s="27" t="s">
        <v>167</v>
      </c>
      <c r="K39" s="29"/>
      <c r="L39" s="29"/>
      <c r="M39" s="29"/>
      <c r="N39" s="29"/>
      <c r="O39" s="27" t="s">
        <v>167</v>
      </c>
      <c r="P39" s="29"/>
      <c r="Q39" s="27" t="s">
        <v>167</v>
      </c>
      <c r="R39" s="29"/>
      <c r="S39" s="29"/>
    </row>
    <row r="40" spans="1:19" ht="18" customHeight="1" x14ac:dyDescent="0.35">
      <c r="A40" s="30" t="s">
        <v>154</v>
      </c>
      <c r="B40" s="31" t="s">
        <v>1286</v>
      </c>
      <c r="C40" s="33" t="s">
        <v>170</v>
      </c>
      <c r="D40" s="33" t="s">
        <v>170</v>
      </c>
      <c r="E40" s="25" t="s">
        <v>164</v>
      </c>
      <c r="F40" s="28" t="s">
        <v>173</v>
      </c>
      <c r="G40" s="27" t="s">
        <v>167</v>
      </c>
      <c r="H40" s="27" t="s">
        <v>167</v>
      </c>
      <c r="I40" s="27" t="s">
        <v>167</v>
      </c>
      <c r="J40" s="27" t="s">
        <v>167</v>
      </c>
      <c r="K40" s="27" t="s">
        <v>167</v>
      </c>
      <c r="L40" s="27" t="s">
        <v>167</v>
      </c>
      <c r="M40" s="27" t="s">
        <v>167</v>
      </c>
      <c r="N40" s="27" t="s">
        <v>167</v>
      </c>
      <c r="O40" s="27" t="s">
        <v>167</v>
      </c>
      <c r="P40" s="32"/>
      <c r="Q40" s="27" t="s">
        <v>167</v>
      </c>
      <c r="R40" s="32"/>
      <c r="S40" s="32"/>
    </row>
    <row r="41" spans="1:19" ht="18" customHeight="1" x14ac:dyDescent="0.35">
      <c r="A41" s="23" t="s">
        <v>134</v>
      </c>
      <c r="B41" s="24" t="s">
        <v>1287</v>
      </c>
      <c r="C41" s="33" t="s">
        <v>170</v>
      </c>
      <c r="D41" s="27" t="s">
        <v>167</v>
      </c>
      <c r="E41" s="25" t="s">
        <v>164</v>
      </c>
      <c r="F41" s="28" t="s">
        <v>173</v>
      </c>
      <c r="G41" s="27" t="s">
        <v>167</v>
      </c>
      <c r="H41" s="29"/>
      <c r="I41" s="29"/>
      <c r="J41" s="27" t="s">
        <v>167</v>
      </c>
      <c r="K41" s="29"/>
      <c r="L41" s="29"/>
      <c r="M41" s="29"/>
      <c r="N41" s="29"/>
      <c r="O41" s="27" t="s">
        <v>167</v>
      </c>
      <c r="P41" s="27" t="s">
        <v>167</v>
      </c>
      <c r="Q41" s="26" t="s">
        <v>161</v>
      </c>
      <c r="R41" s="29"/>
      <c r="S41" s="29"/>
    </row>
    <row r="42" spans="1:19" ht="18" customHeight="1" x14ac:dyDescent="0.35">
      <c r="A42" s="30" t="s">
        <v>134</v>
      </c>
      <c r="B42" s="31" t="s">
        <v>1288</v>
      </c>
      <c r="C42" s="33" t="s">
        <v>170</v>
      </c>
      <c r="D42" s="27" t="s">
        <v>167</v>
      </c>
      <c r="E42" s="25" t="s">
        <v>164</v>
      </c>
      <c r="F42" s="28" t="s">
        <v>173</v>
      </c>
      <c r="G42" s="27" t="s">
        <v>167</v>
      </c>
      <c r="H42" s="32"/>
      <c r="I42" s="32"/>
      <c r="J42" s="27" t="s">
        <v>167</v>
      </c>
      <c r="K42" s="32"/>
      <c r="L42" s="32"/>
      <c r="M42" s="32"/>
      <c r="N42" s="32"/>
      <c r="O42" s="32"/>
      <c r="P42" s="27" t="s">
        <v>167</v>
      </c>
      <c r="Q42" s="26" t="s">
        <v>161</v>
      </c>
      <c r="R42" s="32"/>
      <c r="S42" s="32"/>
    </row>
    <row r="43" spans="1:19" ht="18" customHeight="1" x14ac:dyDescent="0.35">
      <c r="A43" s="23" t="s">
        <v>134</v>
      </c>
      <c r="B43" s="24" t="s">
        <v>1289</v>
      </c>
      <c r="C43" s="25" t="s">
        <v>164</v>
      </c>
      <c r="D43" s="27" t="s">
        <v>167</v>
      </c>
      <c r="E43" s="26" t="s">
        <v>161</v>
      </c>
      <c r="F43" s="28" t="s">
        <v>173</v>
      </c>
      <c r="G43" s="27" t="s">
        <v>167</v>
      </c>
      <c r="H43" s="29"/>
      <c r="I43" s="29"/>
      <c r="J43" s="27" t="s">
        <v>167</v>
      </c>
      <c r="K43" s="29"/>
      <c r="L43" s="29"/>
      <c r="M43" s="29"/>
      <c r="N43" s="29"/>
      <c r="O43" s="29"/>
      <c r="P43" s="27" t="s">
        <v>167</v>
      </c>
      <c r="Q43" s="26" t="s">
        <v>161</v>
      </c>
      <c r="R43" s="29"/>
      <c r="S43" s="29"/>
    </row>
    <row r="44" spans="1:19" ht="18" customHeight="1" x14ac:dyDescent="0.35">
      <c r="A44" s="30" t="s">
        <v>138</v>
      </c>
      <c r="B44" s="31" t="s">
        <v>1290</v>
      </c>
      <c r="C44" s="33" t="s">
        <v>170</v>
      </c>
      <c r="D44" s="27" t="s">
        <v>167</v>
      </c>
      <c r="E44" s="25" t="s">
        <v>164</v>
      </c>
      <c r="F44" s="28" t="s">
        <v>173</v>
      </c>
      <c r="G44" s="27" t="s">
        <v>167</v>
      </c>
      <c r="H44" s="32"/>
      <c r="I44" s="32"/>
      <c r="J44" s="27" t="s">
        <v>167</v>
      </c>
      <c r="K44" s="32"/>
      <c r="L44" s="32"/>
      <c r="M44" s="32"/>
      <c r="N44" s="32"/>
      <c r="O44" s="32"/>
      <c r="P44" s="27" t="s">
        <v>167</v>
      </c>
      <c r="Q44" s="26" t="s">
        <v>161</v>
      </c>
      <c r="R44" s="32"/>
      <c r="S44" s="32"/>
    </row>
    <row r="45" spans="1:19" ht="18" customHeight="1" x14ac:dyDescent="0.35">
      <c r="A45" s="23" t="s">
        <v>138</v>
      </c>
      <c r="B45" s="24" t="s">
        <v>1291</v>
      </c>
      <c r="C45" s="33" t="s">
        <v>170</v>
      </c>
      <c r="D45" s="33" t="s">
        <v>170</v>
      </c>
      <c r="E45" s="25" t="s">
        <v>164</v>
      </c>
      <c r="F45" s="28" t="s">
        <v>173</v>
      </c>
      <c r="G45" s="27" t="s">
        <v>167</v>
      </c>
      <c r="H45" s="29"/>
      <c r="I45" s="29"/>
      <c r="J45" s="27" t="s">
        <v>167</v>
      </c>
      <c r="K45" s="29"/>
      <c r="L45" s="29"/>
      <c r="M45" s="29"/>
      <c r="N45" s="29"/>
      <c r="O45" s="29"/>
      <c r="P45" s="27" t="s">
        <v>167</v>
      </c>
      <c r="Q45" s="26" t="s">
        <v>161</v>
      </c>
      <c r="R45" s="29"/>
      <c r="S45" s="29"/>
    </row>
    <row r="46" spans="1:19" ht="18" customHeight="1" x14ac:dyDescent="0.35">
      <c r="A46" s="30" t="s">
        <v>138</v>
      </c>
      <c r="B46" s="31" t="s">
        <v>1292</v>
      </c>
      <c r="C46" s="33" t="s">
        <v>170</v>
      </c>
      <c r="D46" s="33" t="s">
        <v>170</v>
      </c>
      <c r="E46" s="25" t="s">
        <v>164</v>
      </c>
      <c r="F46" s="28" t="s">
        <v>173</v>
      </c>
      <c r="G46" s="27" t="s">
        <v>167</v>
      </c>
      <c r="H46" s="32"/>
      <c r="I46" s="32"/>
      <c r="J46" s="27" t="s">
        <v>167</v>
      </c>
      <c r="K46" s="32"/>
      <c r="L46" s="32"/>
      <c r="M46" s="32"/>
      <c r="N46" s="32"/>
      <c r="O46" s="32"/>
      <c r="P46" s="27" t="s">
        <v>167</v>
      </c>
      <c r="Q46" s="26" t="s">
        <v>161</v>
      </c>
      <c r="R46" s="32"/>
      <c r="S46" s="32"/>
    </row>
    <row r="47" spans="1:19" ht="18" customHeight="1" x14ac:dyDescent="0.35">
      <c r="A47" s="23" t="s">
        <v>142</v>
      </c>
      <c r="B47" s="24" t="s">
        <v>1293</v>
      </c>
      <c r="C47" s="33" t="s">
        <v>170</v>
      </c>
      <c r="D47" s="33" t="s">
        <v>170</v>
      </c>
      <c r="E47" s="25" t="s">
        <v>164</v>
      </c>
      <c r="F47" s="28" t="s">
        <v>173</v>
      </c>
      <c r="G47" s="27" t="s">
        <v>167</v>
      </c>
      <c r="H47" s="29"/>
      <c r="I47" s="29"/>
      <c r="J47" s="27" t="s">
        <v>167</v>
      </c>
      <c r="K47" s="29"/>
      <c r="L47" s="29"/>
      <c r="M47" s="29"/>
      <c r="N47" s="27" t="s">
        <v>167</v>
      </c>
      <c r="O47" s="29"/>
      <c r="P47" s="27" t="s">
        <v>167</v>
      </c>
      <c r="Q47" s="26" t="s">
        <v>161</v>
      </c>
      <c r="R47" s="29"/>
      <c r="S47" s="29"/>
    </row>
    <row r="48" spans="1:19" ht="18" customHeight="1" x14ac:dyDescent="0.35">
      <c r="A48" s="30" t="s">
        <v>142</v>
      </c>
      <c r="B48" s="31" t="s">
        <v>1294</v>
      </c>
      <c r="C48" s="33" t="s">
        <v>170</v>
      </c>
      <c r="D48" s="33" t="s">
        <v>170</v>
      </c>
      <c r="E48" s="25" t="s">
        <v>164</v>
      </c>
      <c r="F48" s="28" t="s">
        <v>173</v>
      </c>
      <c r="G48" s="27" t="s">
        <v>167</v>
      </c>
      <c r="H48" s="32"/>
      <c r="I48" s="32"/>
      <c r="J48" s="27" t="s">
        <v>167</v>
      </c>
      <c r="K48" s="32"/>
      <c r="L48" s="32"/>
      <c r="M48" s="32"/>
      <c r="N48" s="32"/>
      <c r="O48" s="32"/>
      <c r="P48" s="27" t="s">
        <v>167</v>
      </c>
      <c r="Q48" s="26" t="s">
        <v>161</v>
      </c>
      <c r="R48" s="32"/>
      <c r="S48" s="32"/>
    </row>
    <row r="49" spans="1:19" ht="18" customHeight="1" x14ac:dyDescent="0.35">
      <c r="A49" s="23" t="s">
        <v>142</v>
      </c>
      <c r="B49" s="24" t="s">
        <v>1295</v>
      </c>
      <c r="C49" s="25" t="s">
        <v>164</v>
      </c>
      <c r="D49" s="27" t="s">
        <v>167</v>
      </c>
      <c r="E49" s="27" t="s">
        <v>167</v>
      </c>
      <c r="F49" s="28" t="s">
        <v>173</v>
      </c>
      <c r="G49" s="27" t="s">
        <v>167</v>
      </c>
      <c r="H49" s="29"/>
      <c r="I49" s="29"/>
      <c r="J49" s="27" t="s">
        <v>167</v>
      </c>
      <c r="K49" s="29"/>
      <c r="L49" s="29"/>
      <c r="M49" s="29"/>
      <c r="N49" s="29"/>
      <c r="O49" s="29"/>
      <c r="P49" s="27" t="s">
        <v>167</v>
      </c>
      <c r="Q49" s="26" t="s">
        <v>161</v>
      </c>
      <c r="R49" s="29"/>
      <c r="S49" s="29"/>
    </row>
    <row r="50" spans="1:19" ht="18" customHeight="1" x14ac:dyDescent="0.35">
      <c r="A50" s="30" t="s">
        <v>146</v>
      </c>
      <c r="B50" s="31" t="s">
        <v>1296</v>
      </c>
      <c r="C50" s="33" t="s">
        <v>170</v>
      </c>
      <c r="D50" s="27" t="s">
        <v>167</v>
      </c>
      <c r="E50" s="25" t="s">
        <v>164</v>
      </c>
      <c r="F50" s="28" t="s">
        <v>173</v>
      </c>
      <c r="G50" s="27" t="s">
        <v>167</v>
      </c>
      <c r="H50" s="32"/>
      <c r="I50" s="32"/>
      <c r="J50" s="27" t="s">
        <v>167</v>
      </c>
      <c r="K50" s="32"/>
      <c r="L50" s="32"/>
      <c r="M50" s="32"/>
      <c r="N50" s="32"/>
      <c r="O50" s="32"/>
      <c r="P50" s="27" t="s">
        <v>167</v>
      </c>
      <c r="Q50" s="26" t="s">
        <v>161</v>
      </c>
      <c r="R50" s="32"/>
      <c r="S50" s="32"/>
    </row>
    <row r="51" spans="1:19" ht="18" customHeight="1" x14ac:dyDescent="0.35">
      <c r="A51" s="23" t="s">
        <v>146</v>
      </c>
      <c r="B51" s="24" t="s">
        <v>1297</v>
      </c>
      <c r="C51" s="33" t="s">
        <v>170</v>
      </c>
      <c r="D51" s="27" t="s">
        <v>167</v>
      </c>
      <c r="E51" s="25" t="s">
        <v>164</v>
      </c>
      <c r="F51" s="28" t="s">
        <v>173</v>
      </c>
      <c r="G51" s="27" t="s">
        <v>167</v>
      </c>
      <c r="H51" s="29"/>
      <c r="I51" s="29"/>
      <c r="J51" s="27" t="s">
        <v>167</v>
      </c>
      <c r="K51" s="29"/>
      <c r="L51" s="29"/>
      <c r="M51" s="29"/>
      <c r="N51" s="29"/>
      <c r="O51" s="29"/>
      <c r="P51" s="27" t="s">
        <v>167</v>
      </c>
      <c r="Q51" s="26" t="s">
        <v>161</v>
      </c>
      <c r="R51" s="29"/>
      <c r="S51" s="29"/>
    </row>
    <row r="52" spans="1:19" ht="18" customHeight="1" x14ac:dyDescent="0.35">
      <c r="A52" s="30" t="s">
        <v>830</v>
      </c>
      <c r="B52" s="31" t="s">
        <v>1298</v>
      </c>
      <c r="C52" s="33" t="s">
        <v>170</v>
      </c>
      <c r="D52" s="33" t="s">
        <v>170</v>
      </c>
      <c r="E52" s="25" t="s">
        <v>164</v>
      </c>
      <c r="F52" s="27" t="s">
        <v>167</v>
      </c>
      <c r="G52" s="27" t="s">
        <v>167</v>
      </c>
      <c r="H52" s="27" t="s">
        <v>167</v>
      </c>
      <c r="I52" s="27" t="s">
        <v>167</v>
      </c>
      <c r="J52" s="27" t="s">
        <v>167</v>
      </c>
      <c r="K52" s="27" t="s">
        <v>167</v>
      </c>
      <c r="L52" s="27" t="s">
        <v>167</v>
      </c>
      <c r="M52" s="27" t="s">
        <v>167</v>
      </c>
      <c r="N52" s="27" t="s">
        <v>167</v>
      </c>
      <c r="O52" s="32"/>
      <c r="P52" s="32"/>
      <c r="Q52" s="27" t="s">
        <v>167</v>
      </c>
      <c r="R52" s="26" t="s">
        <v>161</v>
      </c>
      <c r="S52" s="32"/>
    </row>
    <row r="53" spans="1:19" ht="18" customHeight="1" x14ac:dyDescent="0.35">
      <c r="A53" s="23" t="s">
        <v>830</v>
      </c>
      <c r="B53" s="24" t="s">
        <v>1299</v>
      </c>
      <c r="C53" s="33" t="s">
        <v>170</v>
      </c>
      <c r="D53" s="27" t="s">
        <v>167</v>
      </c>
      <c r="E53" s="25" t="s">
        <v>164</v>
      </c>
      <c r="F53" s="28" t="s">
        <v>173</v>
      </c>
      <c r="G53" s="27" t="s">
        <v>167</v>
      </c>
      <c r="H53" s="27" t="s">
        <v>167</v>
      </c>
      <c r="I53" s="27" t="s">
        <v>167</v>
      </c>
      <c r="J53" s="27" t="s">
        <v>167</v>
      </c>
      <c r="K53" s="27" t="s">
        <v>167</v>
      </c>
      <c r="L53" s="27" t="s">
        <v>167</v>
      </c>
      <c r="M53" s="27" t="s">
        <v>167</v>
      </c>
      <c r="N53" s="27" t="s">
        <v>167</v>
      </c>
      <c r="O53" s="29"/>
      <c r="P53" s="29"/>
      <c r="Q53" s="27" t="s">
        <v>167</v>
      </c>
      <c r="R53" s="26" t="s">
        <v>161</v>
      </c>
      <c r="S53" s="29"/>
    </row>
    <row r="54" spans="1:19" ht="18" customHeight="1" x14ac:dyDescent="0.35">
      <c r="A54" s="30" t="s">
        <v>830</v>
      </c>
      <c r="B54" s="31" t="s">
        <v>1300</v>
      </c>
      <c r="C54" s="33" t="s">
        <v>170</v>
      </c>
      <c r="D54" s="27" t="s">
        <v>167</v>
      </c>
      <c r="E54" s="25" t="s">
        <v>164</v>
      </c>
      <c r="F54" s="27" t="s">
        <v>167</v>
      </c>
      <c r="G54" s="32"/>
      <c r="H54" s="32"/>
      <c r="I54" s="32"/>
      <c r="J54" s="32"/>
      <c r="K54" s="32"/>
      <c r="L54" s="32"/>
      <c r="M54" s="32"/>
      <c r="N54" s="32"/>
      <c r="O54" s="32"/>
      <c r="P54" s="32"/>
      <c r="Q54" s="32"/>
      <c r="R54" s="26" t="s">
        <v>161</v>
      </c>
      <c r="S54" s="32"/>
    </row>
    <row r="55" spans="1:19" ht="18" customHeight="1" x14ac:dyDescent="0.35">
      <c r="A55" s="23" t="s">
        <v>134</v>
      </c>
      <c r="B55" s="24" t="s">
        <v>1301</v>
      </c>
      <c r="C55" s="33" t="s">
        <v>170</v>
      </c>
      <c r="D55" s="33" t="s">
        <v>170</v>
      </c>
      <c r="E55" s="25" t="s">
        <v>164</v>
      </c>
      <c r="F55" s="28" t="s">
        <v>173</v>
      </c>
      <c r="G55" s="27" t="s">
        <v>167</v>
      </c>
      <c r="H55" s="27" t="s">
        <v>167</v>
      </c>
      <c r="I55" s="27" t="s">
        <v>167</v>
      </c>
      <c r="J55" s="29"/>
      <c r="K55" s="29"/>
      <c r="L55" s="29"/>
      <c r="M55" s="27" t="s">
        <v>167</v>
      </c>
      <c r="N55" s="29"/>
      <c r="O55" s="29"/>
      <c r="P55" s="27" t="s">
        <v>167</v>
      </c>
      <c r="Q55" s="27" t="s">
        <v>167</v>
      </c>
      <c r="R55" s="29"/>
      <c r="S55" s="29"/>
    </row>
    <row r="56" spans="1:19" ht="18" customHeight="1" x14ac:dyDescent="0.35">
      <c r="A56" s="30" t="s">
        <v>138</v>
      </c>
      <c r="B56" s="31" t="s">
        <v>1302</v>
      </c>
      <c r="C56" s="25" t="s">
        <v>164</v>
      </c>
      <c r="D56" s="27" t="s">
        <v>167</v>
      </c>
      <c r="E56" s="26" t="s">
        <v>161</v>
      </c>
      <c r="F56" s="28" t="s">
        <v>173</v>
      </c>
      <c r="G56" s="27" t="s">
        <v>167</v>
      </c>
      <c r="H56" s="32"/>
      <c r="I56" s="32"/>
      <c r="J56" s="27" t="s">
        <v>167</v>
      </c>
      <c r="K56" s="32"/>
      <c r="L56" s="32"/>
      <c r="M56" s="27" t="s">
        <v>167</v>
      </c>
      <c r="N56" s="32"/>
      <c r="O56" s="27" t="s">
        <v>167</v>
      </c>
      <c r="P56" s="32"/>
      <c r="Q56" s="27" t="s">
        <v>167</v>
      </c>
      <c r="R56" s="32"/>
      <c r="S56" s="32"/>
    </row>
    <row r="57" spans="1:19" ht="18" customHeight="1" x14ac:dyDescent="0.35">
      <c r="A57" s="23" t="s">
        <v>142</v>
      </c>
      <c r="B57" s="24" t="s">
        <v>1303</v>
      </c>
      <c r="C57" s="33" t="s">
        <v>170</v>
      </c>
      <c r="D57" s="33" t="s">
        <v>170</v>
      </c>
      <c r="E57" s="25" t="s">
        <v>164</v>
      </c>
      <c r="F57" s="28" t="s">
        <v>173</v>
      </c>
      <c r="G57" s="26" t="s">
        <v>161</v>
      </c>
      <c r="H57" s="27" t="s">
        <v>167</v>
      </c>
      <c r="I57" s="27" t="s">
        <v>167</v>
      </c>
      <c r="J57" s="27" t="s">
        <v>167</v>
      </c>
      <c r="K57" s="29"/>
      <c r="L57" s="29"/>
      <c r="M57" s="29"/>
      <c r="N57" s="27" t="s">
        <v>167</v>
      </c>
      <c r="O57" s="29"/>
      <c r="P57" s="27" t="s">
        <v>167</v>
      </c>
      <c r="Q57" s="29"/>
      <c r="R57" s="29"/>
      <c r="S57" s="29"/>
    </row>
    <row r="58" spans="1:19" ht="18" customHeight="1" x14ac:dyDescent="0.35">
      <c r="A58" s="30" t="s">
        <v>146</v>
      </c>
      <c r="B58" s="31" t="s">
        <v>1304</v>
      </c>
      <c r="C58" s="33" t="s">
        <v>170</v>
      </c>
      <c r="D58" s="33" t="s">
        <v>170</v>
      </c>
      <c r="E58" s="25" t="s">
        <v>164</v>
      </c>
      <c r="F58" s="28" t="s">
        <v>173</v>
      </c>
      <c r="G58" s="26" t="s">
        <v>161</v>
      </c>
      <c r="H58" s="27" t="s">
        <v>167</v>
      </c>
      <c r="I58" s="32"/>
      <c r="J58" s="27" t="s">
        <v>167</v>
      </c>
      <c r="K58" s="32"/>
      <c r="L58" s="32"/>
      <c r="M58" s="32"/>
      <c r="N58" s="27" t="s">
        <v>167</v>
      </c>
      <c r="O58" s="32"/>
      <c r="P58" s="32"/>
      <c r="Q58" s="27" t="s">
        <v>167</v>
      </c>
      <c r="R58" s="32"/>
      <c r="S58" s="32"/>
    </row>
    <row r="59" spans="1:19" ht="18" customHeight="1" x14ac:dyDescent="0.35">
      <c r="A59" s="23" t="s">
        <v>134</v>
      </c>
      <c r="B59" s="24" t="s">
        <v>1305</v>
      </c>
      <c r="C59" s="25" t="s">
        <v>164</v>
      </c>
      <c r="D59" s="27" t="s">
        <v>167</v>
      </c>
      <c r="E59" s="26" t="s">
        <v>161</v>
      </c>
      <c r="F59" s="28" t="s">
        <v>173</v>
      </c>
      <c r="G59" s="27" t="s">
        <v>167</v>
      </c>
      <c r="H59" s="29"/>
      <c r="I59" s="27" t="s">
        <v>167</v>
      </c>
      <c r="J59" s="29"/>
      <c r="K59" s="29"/>
      <c r="L59" s="27" t="s">
        <v>167</v>
      </c>
      <c r="M59" s="27" t="s">
        <v>167</v>
      </c>
      <c r="N59" s="29"/>
      <c r="O59" s="27" t="s">
        <v>167</v>
      </c>
      <c r="P59" s="29"/>
      <c r="Q59" s="27" t="s">
        <v>167</v>
      </c>
      <c r="R59" s="26" t="s">
        <v>161</v>
      </c>
      <c r="S59" s="29"/>
    </row>
    <row r="60" spans="1:19" ht="18" customHeight="1" x14ac:dyDescent="0.35">
      <c r="A60" s="30" t="s">
        <v>138</v>
      </c>
      <c r="B60" s="31" t="s">
        <v>1306</v>
      </c>
      <c r="C60" s="25" t="s">
        <v>164</v>
      </c>
      <c r="D60" s="27" t="s">
        <v>167</v>
      </c>
      <c r="E60" s="27" t="s">
        <v>167</v>
      </c>
      <c r="F60" s="28" t="s">
        <v>173</v>
      </c>
      <c r="G60" s="32"/>
      <c r="H60" s="32"/>
      <c r="I60" s="27" t="s">
        <v>167</v>
      </c>
      <c r="J60" s="32"/>
      <c r="K60" s="32"/>
      <c r="L60" s="27" t="s">
        <v>167</v>
      </c>
      <c r="M60" s="27" t="s">
        <v>167</v>
      </c>
      <c r="N60" s="32"/>
      <c r="O60" s="26" t="s">
        <v>161</v>
      </c>
      <c r="P60" s="32"/>
      <c r="Q60" s="27" t="s">
        <v>167</v>
      </c>
      <c r="R60" s="26" t="s">
        <v>161</v>
      </c>
      <c r="S60" s="32"/>
    </row>
    <row r="61" spans="1:19" ht="18" customHeight="1" x14ac:dyDescent="0.35">
      <c r="A61" s="23" t="s">
        <v>142</v>
      </c>
      <c r="B61" s="24" t="s">
        <v>1307</v>
      </c>
      <c r="C61" s="33" t="s">
        <v>170</v>
      </c>
      <c r="D61" s="27" t="s">
        <v>167</v>
      </c>
      <c r="E61" s="27" t="s">
        <v>167</v>
      </c>
      <c r="F61" s="28" t="s">
        <v>173</v>
      </c>
      <c r="G61" s="29"/>
      <c r="H61" s="29"/>
      <c r="I61" s="27" t="s">
        <v>167</v>
      </c>
      <c r="J61" s="29"/>
      <c r="K61" s="27" t="s">
        <v>167</v>
      </c>
      <c r="L61" s="27" t="s">
        <v>167</v>
      </c>
      <c r="M61" s="26" t="s">
        <v>161</v>
      </c>
      <c r="N61" s="27" t="s">
        <v>167</v>
      </c>
      <c r="O61" s="27" t="s">
        <v>167</v>
      </c>
      <c r="P61" s="29"/>
      <c r="Q61" s="29"/>
      <c r="R61" s="25" t="s">
        <v>164</v>
      </c>
      <c r="S61" s="29"/>
    </row>
    <row r="62" spans="1:19" ht="18" customHeight="1" x14ac:dyDescent="0.35">
      <c r="A62" s="30" t="s">
        <v>146</v>
      </c>
      <c r="B62" s="31" t="s">
        <v>1308</v>
      </c>
      <c r="C62" s="33" t="s">
        <v>170</v>
      </c>
      <c r="D62" s="27" t="s">
        <v>167</v>
      </c>
      <c r="E62" s="25" t="s">
        <v>164</v>
      </c>
      <c r="F62" s="28" t="s">
        <v>173</v>
      </c>
      <c r="G62" s="32"/>
      <c r="H62" s="32"/>
      <c r="I62" s="27" t="s">
        <v>167</v>
      </c>
      <c r="J62" s="32"/>
      <c r="K62" s="27" t="s">
        <v>167</v>
      </c>
      <c r="L62" s="27" t="s">
        <v>167</v>
      </c>
      <c r="M62" s="27" t="s">
        <v>167</v>
      </c>
      <c r="N62" s="27" t="s">
        <v>167</v>
      </c>
      <c r="O62" s="27" t="s">
        <v>167</v>
      </c>
      <c r="P62" s="32"/>
      <c r="Q62" s="32"/>
      <c r="R62" s="26" t="s">
        <v>161</v>
      </c>
      <c r="S62" s="32"/>
    </row>
    <row r="63" spans="1:19" ht="18" customHeight="1" x14ac:dyDescent="0.35">
      <c r="A63" s="23" t="s">
        <v>293</v>
      </c>
      <c r="B63" s="24" t="s">
        <v>1309</v>
      </c>
      <c r="C63" s="26" t="s">
        <v>161</v>
      </c>
      <c r="D63" s="25" t="s">
        <v>164</v>
      </c>
      <c r="E63" s="27" t="s">
        <v>167</v>
      </c>
      <c r="F63" s="29"/>
      <c r="G63" s="29"/>
      <c r="H63" s="29"/>
      <c r="I63" s="29"/>
      <c r="J63" s="29"/>
      <c r="K63" s="29"/>
      <c r="L63" s="29"/>
      <c r="M63" s="29"/>
      <c r="N63" s="29"/>
      <c r="O63" s="29"/>
      <c r="P63" s="29"/>
      <c r="Q63" s="29"/>
      <c r="R63" s="29"/>
      <c r="S63" s="29"/>
    </row>
    <row r="64" spans="1:19" ht="18" customHeight="1" x14ac:dyDescent="0.35">
      <c r="A64" s="30" t="s">
        <v>1310</v>
      </c>
      <c r="B64" s="31" t="s">
        <v>1311</v>
      </c>
      <c r="C64" s="26" t="s">
        <v>161</v>
      </c>
      <c r="D64" s="25" t="s">
        <v>164</v>
      </c>
      <c r="E64" s="27" t="s">
        <v>167</v>
      </c>
      <c r="F64" s="33" t="s">
        <v>170</v>
      </c>
      <c r="G64" s="32"/>
      <c r="H64" s="32"/>
      <c r="I64" s="32"/>
      <c r="J64" s="32"/>
      <c r="K64" s="32"/>
      <c r="L64" s="32"/>
      <c r="M64" s="32"/>
      <c r="N64" s="32"/>
      <c r="O64" s="32"/>
      <c r="P64" s="32"/>
      <c r="Q64" s="32"/>
      <c r="R64" s="32"/>
      <c r="S64" s="32"/>
    </row>
    <row r="65" spans="1:19" ht="18" customHeight="1" x14ac:dyDescent="0.35">
      <c r="A65" s="23" t="s">
        <v>1312</v>
      </c>
      <c r="B65" s="24" t="s">
        <v>1313</v>
      </c>
      <c r="C65" s="26" t="s">
        <v>161</v>
      </c>
      <c r="D65" s="25" t="s">
        <v>164</v>
      </c>
      <c r="E65" s="33" t="s">
        <v>170</v>
      </c>
      <c r="F65" s="29"/>
      <c r="G65" s="29"/>
      <c r="H65" s="29"/>
      <c r="I65" s="29"/>
      <c r="J65" s="29"/>
      <c r="K65" s="29"/>
      <c r="L65" s="29"/>
      <c r="M65" s="29"/>
      <c r="N65" s="29"/>
      <c r="O65" s="29"/>
      <c r="P65" s="29"/>
      <c r="Q65" s="29"/>
      <c r="R65" s="29"/>
      <c r="S65" s="29"/>
    </row>
    <row r="66" spans="1:19" ht="18" customHeight="1" x14ac:dyDescent="0.35">
      <c r="A66" s="30" t="s">
        <v>1314</v>
      </c>
      <c r="B66" s="31" t="s">
        <v>1315</v>
      </c>
      <c r="C66" s="26" t="s">
        <v>161</v>
      </c>
      <c r="D66" s="25" t="s">
        <v>164</v>
      </c>
      <c r="E66" s="27" t="s">
        <v>167</v>
      </c>
      <c r="F66" s="32"/>
      <c r="G66" s="32"/>
      <c r="H66" s="32"/>
      <c r="I66" s="32"/>
      <c r="J66" s="32"/>
      <c r="K66" s="32"/>
      <c r="L66" s="32"/>
      <c r="M66" s="32"/>
      <c r="N66" s="32"/>
      <c r="O66" s="32"/>
      <c r="P66" s="32"/>
      <c r="Q66" s="32"/>
      <c r="R66" s="32"/>
      <c r="S66" s="32"/>
    </row>
    <row r="67" spans="1:19" ht="18" customHeight="1" x14ac:dyDescent="0.35">
      <c r="A67" s="23" t="s">
        <v>1316</v>
      </c>
      <c r="B67" s="24" t="s">
        <v>1317</v>
      </c>
      <c r="C67" s="26" t="s">
        <v>161</v>
      </c>
      <c r="D67" s="25" t="s">
        <v>164</v>
      </c>
      <c r="E67" s="27" t="s">
        <v>167</v>
      </c>
      <c r="F67" s="33" t="s">
        <v>170</v>
      </c>
      <c r="G67" s="29"/>
      <c r="H67" s="29"/>
      <c r="I67" s="29"/>
      <c r="J67" s="29"/>
      <c r="K67" s="29"/>
      <c r="L67" s="29"/>
      <c r="M67" s="29"/>
      <c r="N67" s="29"/>
      <c r="O67" s="29"/>
      <c r="P67" s="29"/>
      <c r="Q67" s="29"/>
      <c r="R67" s="29"/>
      <c r="S67" s="29"/>
    </row>
    <row r="68" spans="1:19" ht="18" customHeight="1" x14ac:dyDescent="0.35">
      <c r="A68" s="30" t="s">
        <v>1318</v>
      </c>
      <c r="B68" s="31" t="s">
        <v>1319</v>
      </c>
      <c r="C68" s="26" t="s">
        <v>161</v>
      </c>
      <c r="D68" s="25" t="s">
        <v>164</v>
      </c>
      <c r="E68" s="33" t="s">
        <v>170</v>
      </c>
      <c r="F68" s="32"/>
      <c r="G68" s="32"/>
      <c r="H68" s="32"/>
      <c r="I68" s="32"/>
      <c r="J68" s="32"/>
      <c r="K68" s="32"/>
      <c r="L68" s="32"/>
      <c r="M68" s="32"/>
      <c r="N68" s="32"/>
      <c r="O68" s="32"/>
      <c r="P68" s="32"/>
      <c r="Q68" s="32"/>
      <c r="R68" s="32"/>
      <c r="S68" s="32"/>
    </row>
  </sheetData>
  <mergeCells count="2">
    <mergeCell ref="A2:S2"/>
    <mergeCell ref="A1:S1"/>
  </mergeCells>
  <dataValidations count="1">
    <dataValidation type="list" allowBlank="1" sqref="C5:S68" xr:uid="{00000000-0002-0000-0900-000000000000}">
      <formula1>"R,A,C,I,S"</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workbookViewId="0">
      <pane xSplit="2" ySplit="5" topLeftCell="C6" activePane="bottomRight" state="frozen"/>
      <selection pane="topRight"/>
      <selection pane="bottomLeft"/>
      <selection pane="bottomRight" sqref="A1:J1"/>
    </sheetView>
  </sheetViews>
  <sheetFormatPr defaultRowHeight="14.5" x14ac:dyDescent="0.35"/>
  <cols>
    <col min="1" max="1" width="8" customWidth="1"/>
    <col min="2" max="2" width="13" customWidth="1"/>
    <col min="3" max="3" width="52" customWidth="1"/>
    <col min="4" max="4" width="16" customWidth="1"/>
    <col min="5" max="5" width="20" customWidth="1"/>
    <col min="6" max="6" width="8" customWidth="1"/>
    <col min="7" max="7" width="20" customWidth="1"/>
    <col min="8" max="8" width="52" customWidth="1"/>
    <col min="9" max="10" width="13" customWidth="1"/>
  </cols>
  <sheetData>
    <row r="1" spans="1:10" ht="30" customHeight="1" x14ac:dyDescent="0.35">
      <c r="A1" s="119" t="s">
        <v>1320</v>
      </c>
      <c r="B1" s="120"/>
      <c r="C1" s="120"/>
      <c r="D1" s="120"/>
      <c r="E1" s="120"/>
      <c r="F1" s="120"/>
      <c r="G1" s="120"/>
      <c r="H1" s="120"/>
      <c r="I1" s="120"/>
      <c r="J1" s="120"/>
    </row>
    <row r="2" spans="1:10" ht="18" customHeight="1" x14ac:dyDescent="0.35">
      <c r="A2" s="125" t="s">
        <v>1321</v>
      </c>
      <c r="B2" s="120"/>
      <c r="C2" s="120"/>
      <c r="D2" s="120"/>
      <c r="E2" s="120"/>
      <c r="F2" s="120"/>
      <c r="G2" s="120"/>
      <c r="H2" s="120"/>
      <c r="I2" s="120"/>
      <c r="J2" s="120"/>
    </row>
    <row r="4" spans="1:10" ht="22" customHeight="1" x14ac:dyDescent="0.35">
      <c r="A4" s="122" t="s">
        <v>1322</v>
      </c>
      <c r="B4" s="120"/>
      <c r="C4" s="120"/>
      <c r="D4" s="120"/>
      <c r="E4" s="120"/>
      <c r="F4" s="120"/>
      <c r="G4" s="120"/>
      <c r="H4" s="120"/>
      <c r="I4" s="120"/>
      <c r="J4" s="120"/>
    </row>
    <row r="5" spans="1:10" ht="30" customHeight="1" x14ac:dyDescent="0.35">
      <c r="A5" s="4" t="s">
        <v>263</v>
      </c>
      <c r="B5" s="4" t="s">
        <v>185</v>
      </c>
      <c r="C5" s="4" t="s">
        <v>1323</v>
      </c>
      <c r="D5" s="4" t="s">
        <v>265</v>
      </c>
      <c r="E5" s="4" t="s">
        <v>1324</v>
      </c>
      <c r="F5" s="4" t="s">
        <v>1325</v>
      </c>
      <c r="G5" s="4" t="s">
        <v>60</v>
      </c>
      <c r="H5" s="4" t="s">
        <v>1326</v>
      </c>
      <c r="I5" s="4" t="s">
        <v>1327</v>
      </c>
      <c r="J5" s="4" t="s">
        <v>26</v>
      </c>
    </row>
    <row r="6" spans="1:10" ht="34" customHeight="1" x14ac:dyDescent="0.35">
      <c r="A6" s="7" t="s">
        <v>1328</v>
      </c>
      <c r="B6" s="34" t="s">
        <v>186</v>
      </c>
      <c r="C6" s="6" t="s">
        <v>1329</v>
      </c>
      <c r="D6" s="6" t="s">
        <v>823</v>
      </c>
      <c r="E6" s="7" t="s">
        <v>1330</v>
      </c>
      <c r="F6" s="7" t="s">
        <v>1331</v>
      </c>
      <c r="G6" s="6" t="s">
        <v>436</v>
      </c>
      <c r="H6" s="6" t="s">
        <v>1332</v>
      </c>
      <c r="I6" s="7" t="s">
        <v>484</v>
      </c>
      <c r="J6" s="7" t="s">
        <v>1333</v>
      </c>
    </row>
    <row r="7" spans="1:10" ht="34" customHeight="1" x14ac:dyDescent="0.35">
      <c r="A7" s="8" t="s">
        <v>1334</v>
      </c>
      <c r="B7" s="34" t="s">
        <v>186</v>
      </c>
      <c r="C7" s="5" t="s">
        <v>1335</v>
      </c>
      <c r="D7" s="5" t="s">
        <v>1336</v>
      </c>
      <c r="E7" s="8" t="s">
        <v>1330</v>
      </c>
      <c r="F7" s="8" t="s">
        <v>1331</v>
      </c>
      <c r="G7" s="5" t="s">
        <v>659</v>
      </c>
      <c r="H7" s="5" t="s">
        <v>1337</v>
      </c>
      <c r="I7" s="8" t="s">
        <v>484</v>
      </c>
      <c r="J7" s="8" t="s">
        <v>1333</v>
      </c>
    </row>
    <row r="8" spans="1:10" ht="34" customHeight="1" x14ac:dyDescent="0.35">
      <c r="A8" s="7" t="s">
        <v>1338</v>
      </c>
      <c r="B8" s="34" t="s">
        <v>186</v>
      </c>
      <c r="C8" s="6" t="s">
        <v>1339</v>
      </c>
      <c r="D8" s="6" t="s">
        <v>1340</v>
      </c>
      <c r="E8" s="7" t="s">
        <v>1341</v>
      </c>
      <c r="F8" s="7" t="s">
        <v>1331</v>
      </c>
      <c r="G8" s="6" t="s">
        <v>225</v>
      </c>
      <c r="H8" s="6" t="s">
        <v>1342</v>
      </c>
      <c r="I8" s="7" t="s">
        <v>484</v>
      </c>
      <c r="J8" s="7" t="s">
        <v>1333</v>
      </c>
    </row>
    <row r="9" spans="1:10" ht="34" customHeight="1" x14ac:dyDescent="0.35">
      <c r="A9" s="8" t="s">
        <v>1343</v>
      </c>
      <c r="B9" s="34" t="s">
        <v>186</v>
      </c>
      <c r="C9" s="5" t="s">
        <v>1344</v>
      </c>
      <c r="D9" s="5" t="s">
        <v>1127</v>
      </c>
      <c r="E9" s="8" t="s">
        <v>1330</v>
      </c>
      <c r="F9" s="8" t="s">
        <v>1331</v>
      </c>
      <c r="G9" s="5" t="s">
        <v>444</v>
      </c>
      <c r="H9" s="5" t="s">
        <v>1345</v>
      </c>
      <c r="I9" s="8" t="s">
        <v>484</v>
      </c>
      <c r="J9" s="8" t="s">
        <v>1333</v>
      </c>
    </row>
    <row r="10" spans="1:10" ht="34" customHeight="1" x14ac:dyDescent="0.35">
      <c r="A10" s="7" t="s">
        <v>1346</v>
      </c>
      <c r="B10" s="34" t="s">
        <v>186</v>
      </c>
      <c r="C10" s="6" t="s">
        <v>1347</v>
      </c>
      <c r="D10" s="6" t="s">
        <v>1348</v>
      </c>
      <c r="E10" s="7" t="s">
        <v>1341</v>
      </c>
      <c r="F10" s="7" t="s">
        <v>1331</v>
      </c>
      <c r="G10" s="6" t="s">
        <v>76</v>
      </c>
      <c r="H10" s="6" t="s">
        <v>1349</v>
      </c>
      <c r="I10" s="7" t="s">
        <v>484</v>
      </c>
      <c r="J10" s="7" t="s">
        <v>1333</v>
      </c>
    </row>
    <row r="11" spans="1:10" ht="34" customHeight="1" x14ac:dyDescent="0.35">
      <c r="A11" s="8" t="s">
        <v>1350</v>
      </c>
      <c r="B11" s="34" t="s">
        <v>186</v>
      </c>
      <c r="C11" s="5" t="s">
        <v>1351</v>
      </c>
      <c r="D11" s="5" t="s">
        <v>1352</v>
      </c>
      <c r="E11" s="8" t="s">
        <v>1330</v>
      </c>
      <c r="F11" s="8" t="s">
        <v>1331</v>
      </c>
      <c r="G11" s="5" t="s">
        <v>452</v>
      </c>
      <c r="H11" s="5" t="s">
        <v>1353</v>
      </c>
      <c r="I11" s="8" t="s">
        <v>484</v>
      </c>
      <c r="J11" s="8" t="s">
        <v>1333</v>
      </c>
    </row>
    <row r="12" spans="1:10" ht="34" customHeight="1" x14ac:dyDescent="0.35">
      <c r="A12" s="7" t="s">
        <v>1354</v>
      </c>
      <c r="B12" s="34" t="s">
        <v>186</v>
      </c>
      <c r="C12" s="6" t="s">
        <v>1355</v>
      </c>
      <c r="D12" s="6" t="s">
        <v>837</v>
      </c>
      <c r="E12" s="7" t="s">
        <v>1330</v>
      </c>
      <c r="F12" s="7" t="s">
        <v>1331</v>
      </c>
      <c r="G12" s="6" t="s">
        <v>79</v>
      </c>
      <c r="H12" s="6" t="s">
        <v>1356</v>
      </c>
      <c r="I12" s="7" t="s">
        <v>484</v>
      </c>
      <c r="J12" s="7" t="s">
        <v>1333</v>
      </c>
    </row>
    <row r="13" spans="1:10" ht="34" customHeight="1" x14ac:dyDescent="0.35">
      <c r="A13" s="8" t="s">
        <v>1357</v>
      </c>
      <c r="B13" s="34" t="s">
        <v>186</v>
      </c>
      <c r="C13" s="5" t="s">
        <v>1358</v>
      </c>
      <c r="D13" s="5" t="s">
        <v>823</v>
      </c>
      <c r="E13" s="8" t="s">
        <v>1359</v>
      </c>
      <c r="F13" s="8" t="s">
        <v>1360</v>
      </c>
      <c r="G13" s="5" t="s">
        <v>436</v>
      </c>
      <c r="H13" s="5" t="s">
        <v>1361</v>
      </c>
      <c r="I13" s="8" t="s">
        <v>484</v>
      </c>
      <c r="J13" s="8" t="s">
        <v>1333</v>
      </c>
    </row>
    <row r="14" spans="1:10" ht="34" customHeight="1" x14ac:dyDescent="0.35">
      <c r="A14" s="7" t="s">
        <v>1362</v>
      </c>
      <c r="B14" s="34" t="s">
        <v>186</v>
      </c>
      <c r="C14" s="6" t="s">
        <v>1363</v>
      </c>
      <c r="D14" s="6" t="s">
        <v>1364</v>
      </c>
      <c r="E14" s="7" t="s">
        <v>1359</v>
      </c>
      <c r="F14" s="7" t="s">
        <v>1360</v>
      </c>
      <c r="G14" s="6" t="s">
        <v>296</v>
      </c>
      <c r="H14" s="6" t="s">
        <v>1365</v>
      </c>
      <c r="I14" s="7" t="s">
        <v>484</v>
      </c>
      <c r="J14" s="7" t="s">
        <v>1333</v>
      </c>
    </row>
    <row r="15" spans="1:10" ht="34" customHeight="1" x14ac:dyDescent="0.35">
      <c r="A15" s="8" t="s">
        <v>1366</v>
      </c>
      <c r="B15" s="35" t="s">
        <v>188</v>
      </c>
      <c r="C15" s="5" t="s">
        <v>1367</v>
      </c>
      <c r="D15" s="5" t="s">
        <v>1340</v>
      </c>
      <c r="E15" s="8" t="s">
        <v>1330</v>
      </c>
      <c r="F15" s="8" t="s">
        <v>1331</v>
      </c>
      <c r="G15" s="5" t="s">
        <v>225</v>
      </c>
      <c r="H15" s="5" t="s">
        <v>1368</v>
      </c>
      <c r="I15" s="8" t="s">
        <v>484</v>
      </c>
      <c r="J15" s="8" t="s">
        <v>1333</v>
      </c>
    </row>
    <row r="16" spans="1:10" ht="34" customHeight="1" x14ac:dyDescent="0.35">
      <c r="A16" s="7" t="s">
        <v>1369</v>
      </c>
      <c r="B16" s="35" t="s">
        <v>188</v>
      </c>
      <c r="C16" s="6" t="s">
        <v>1370</v>
      </c>
      <c r="D16" s="6" t="s">
        <v>1364</v>
      </c>
      <c r="E16" s="7" t="s">
        <v>1330</v>
      </c>
      <c r="F16" s="7" t="s">
        <v>1331</v>
      </c>
      <c r="G16" s="6" t="s">
        <v>296</v>
      </c>
      <c r="H16" s="6" t="s">
        <v>1371</v>
      </c>
      <c r="I16" s="7" t="s">
        <v>484</v>
      </c>
      <c r="J16" s="7" t="s">
        <v>1333</v>
      </c>
    </row>
    <row r="17" spans="1:10" ht="34" customHeight="1" x14ac:dyDescent="0.35">
      <c r="A17" s="8" t="s">
        <v>1372</v>
      </c>
      <c r="B17" s="35" t="s">
        <v>188</v>
      </c>
      <c r="C17" s="5" t="s">
        <v>1373</v>
      </c>
      <c r="D17" s="5" t="s">
        <v>1374</v>
      </c>
      <c r="E17" s="8" t="s">
        <v>1375</v>
      </c>
      <c r="F17" s="8" t="s">
        <v>153</v>
      </c>
      <c r="G17" s="5" t="s">
        <v>728</v>
      </c>
      <c r="H17" s="5" t="s">
        <v>1376</v>
      </c>
      <c r="I17" s="8" t="s">
        <v>484</v>
      </c>
      <c r="J17" s="8" t="s">
        <v>1333</v>
      </c>
    </row>
    <row r="18" spans="1:10" ht="34" customHeight="1" x14ac:dyDescent="0.35">
      <c r="A18" s="7" t="s">
        <v>1377</v>
      </c>
      <c r="B18" s="35" t="s">
        <v>188</v>
      </c>
      <c r="C18" s="6" t="s">
        <v>1378</v>
      </c>
      <c r="D18" s="6" t="s">
        <v>823</v>
      </c>
      <c r="E18" s="7" t="s">
        <v>1359</v>
      </c>
      <c r="F18" s="7" t="s">
        <v>1360</v>
      </c>
      <c r="G18" s="6" t="s">
        <v>436</v>
      </c>
      <c r="H18" s="6" t="s">
        <v>1379</v>
      </c>
      <c r="I18" s="7" t="s">
        <v>484</v>
      </c>
      <c r="J18" s="7" t="s">
        <v>1333</v>
      </c>
    </row>
    <row r="19" spans="1:10" ht="34" customHeight="1" x14ac:dyDescent="0.35">
      <c r="A19" s="8" t="s">
        <v>1380</v>
      </c>
      <c r="B19" s="35" t="s">
        <v>188</v>
      </c>
      <c r="C19" s="5" t="s">
        <v>1381</v>
      </c>
      <c r="D19" s="5" t="s">
        <v>1382</v>
      </c>
      <c r="E19" s="8" t="s">
        <v>1383</v>
      </c>
      <c r="F19" s="8" t="s">
        <v>1360</v>
      </c>
      <c r="G19" s="5" t="s">
        <v>73</v>
      </c>
      <c r="H19" s="5" t="s">
        <v>1384</v>
      </c>
      <c r="I19" s="8" t="s">
        <v>484</v>
      </c>
      <c r="J19" s="8" t="s">
        <v>1333</v>
      </c>
    </row>
    <row r="20" spans="1:10" ht="34" customHeight="1" x14ac:dyDescent="0.35">
      <c r="A20" s="7" t="s">
        <v>1385</v>
      </c>
      <c r="B20" s="36" t="s">
        <v>190</v>
      </c>
      <c r="C20" s="6" t="s">
        <v>1386</v>
      </c>
      <c r="D20" s="6" t="s">
        <v>1348</v>
      </c>
      <c r="E20" s="7" t="s">
        <v>1387</v>
      </c>
      <c r="F20" s="7" t="s">
        <v>568</v>
      </c>
      <c r="G20" s="6" t="s">
        <v>76</v>
      </c>
      <c r="H20" s="6" t="s">
        <v>1388</v>
      </c>
      <c r="I20" s="7" t="s">
        <v>484</v>
      </c>
      <c r="J20" s="7" t="s">
        <v>1333</v>
      </c>
    </row>
    <row r="21" spans="1:10" ht="34" customHeight="1" x14ac:dyDescent="0.35">
      <c r="A21" s="8" t="s">
        <v>483</v>
      </c>
      <c r="B21" s="37" t="s">
        <v>193</v>
      </c>
      <c r="C21" s="5" t="s">
        <v>1389</v>
      </c>
      <c r="D21" s="5" t="s">
        <v>823</v>
      </c>
      <c r="E21" s="8" t="s">
        <v>1330</v>
      </c>
      <c r="F21" s="8" t="s">
        <v>1331</v>
      </c>
      <c r="G21" s="5" t="s">
        <v>436</v>
      </c>
      <c r="H21" s="5" t="s">
        <v>1390</v>
      </c>
      <c r="I21" s="8" t="s">
        <v>484</v>
      </c>
      <c r="J21" s="8" t="s">
        <v>1333</v>
      </c>
    </row>
    <row r="22" spans="1:10" ht="34" customHeight="1" x14ac:dyDescent="0.35">
      <c r="A22" s="7" t="s">
        <v>490</v>
      </c>
      <c r="B22" s="37" t="s">
        <v>193</v>
      </c>
      <c r="C22" s="6" t="s">
        <v>1391</v>
      </c>
      <c r="D22" s="6" t="s">
        <v>1336</v>
      </c>
      <c r="E22" s="7" t="s">
        <v>1330</v>
      </c>
      <c r="F22" s="7" t="s">
        <v>1331</v>
      </c>
      <c r="G22" s="6" t="s">
        <v>659</v>
      </c>
      <c r="H22" s="6" t="s">
        <v>1392</v>
      </c>
      <c r="I22" s="7" t="s">
        <v>484</v>
      </c>
      <c r="J22" s="7" t="s">
        <v>1333</v>
      </c>
    </row>
    <row r="23" spans="1:10" ht="34" customHeight="1" x14ac:dyDescent="0.35">
      <c r="A23" s="8" t="s">
        <v>495</v>
      </c>
      <c r="B23" s="37" t="s">
        <v>193</v>
      </c>
      <c r="C23" s="5" t="s">
        <v>1393</v>
      </c>
      <c r="D23" s="5" t="s">
        <v>1364</v>
      </c>
      <c r="E23" s="8" t="s">
        <v>1330</v>
      </c>
      <c r="F23" s="8" t="s">
        <v>1331</v>
      </c>
      <c r="G23" s="5" t="s">
        <v>296</v>
      </c>
      <c r="H23" s="5" t="s">
        <v>1394</v>
      </c>
      <c r="I23" s="8" t="s">
        <v>484</v>
      </c>
      <c r="J23" s="8" t="s">
        <v>1333</v>
      </c>
    </row>
    <row r="24" spans="1:10" ht="34" customHeight="1" x14ac:dyDescent="0.35">
      <c r="A24" s="7" t="s">
        <v>500</v>
      </c>
      <c r="B24" s="37" t="s">
        <v>193</v>
      </c>
      <c r="C24" s="6" t="s">
        <v>1395</v>
      </c>
      <c r="D24" s="6" t="s">
        <v>1364</v>
      </c>
      <c r="E24" s="7" t="s">
        <v>1359</v>
      </c>
      <c r="F24" s="7" t="s">
        <v>1360</v>
      </c>
      <c r="G24" s="6" t="s">
        <v>296</v>
      </c>
      <c r="H24" s="6" t="s">
        <v>1396</v>
      </c>
      <c r="I24" s="7" t="s">
        <v>484</v>
      </c>
      <c r="J24" s="7" t="s">
        <v>1333</v>
      </c>
    </row>
    <row r="25" spans="1:10" ht="34" customHeight="1" x14ac:dyDescent="0.35">
      <c r="A25" s="8" t="s">
        <v>505</v>
      </c>
      <c r="B25" s="37" t="s">
        <v>193</v>
      </c>
      <c r="C25" s="5" t="s">
        <v>1397</v>
      </c>
      <c r="D25" s="5" t="s">
        <v>1352</v>
      </c>
      <c r="E25" s="8" t="s">
        <v>1330</v>
      </c>
      <c r="F25" s="8" t="s">
        <v>1331</v>
      </c>
      <c r="G25" s="5" t="s">
        <v>444</v>
      </c>
      <c r="H25" s="5" t="s">
        <v>1398</v>
      </c>
      <c r="I25" s="8" t="s">
        <v>484</v>
      </c>
      <c r="J25" s="8" t="s">
        <v>1333</v>
      </c>
    </row>
    <row r="26" spans="1:10" ht="34" customHeight="1" x14ac:dyDescent="0.35">
      <c r="A26" s="7" t="s">
        <v>510</v>
      </c>
      <c r="B26" s="37" t="s">
        <v>193</v>
      </c>
      <c r="C26" s="6" t="s">
        <v>1399</v>
      </c>
      <c r="D26" s="6" t="s">
        <v>1400</v>
      </c>
      <c r="E26" s="7" t="s">
        <v>1359</v>
      </c>
      <c r="F26" s="7" t="s">
        <v>1360</v>
      </c>
      <c r="G26" s="6" t="s">
        <v>812</v>
      </c>
      <c r="H26" s="6" t="s">
        <v>1401</v>
      </c>
      <c r="I26" s="7" t="s">
        <v>484</v>
      </c>
      <c r="J26" s="7" t="s">
        <v>1333</v>
      </c>
    </row>
    <row r="27" spans="1:10" ht="34" customHeight="1" x14ac:dyDescent="0.35">
      <c r="A27" s="8" t="s">
        <v>1402</v>
      </c>
      <c r="B27" s="34" t="s">
        <v>186</v>
      </c>
      <c r="C27" s="5" t="s">
        <v>1403</v>
      </c>
      <c r="D27" s="5" t="s">
        <v>837</v>
      </c>
      <c r="E27" s="8" t="s">
        <v>1341</v>
      </c>
      <c r="F27" s="8" t="s">
        <v>1331</v>
      </c>
      <c r="G27" s="5" t="s">
        <v>79</v>
      </c>
      <c r="H27" s="5" t="s">
        <v>1404</v>
      </c>
      <c r="I27" s="8" t="s">
        <v>484</v>
      </c>
      <c r="J27" s="8" t="s">
        <v>1333</v>
      </c>
    </row>
    <row r="28" spans="1:10" ht="34" customHeight="1" x14ac:dyDescent="0.35">
      <c r="A28" s="7" t="s">
        <v>1405</v>
      </c>
      <c r="B28" s="34" t="s">
        <v>186</v>
      </c>
      <c r="C28" s="6" t="s">
        <v>1406</v>
      </c>
      <c r="D28" s="6" t="s">
        <v>837</v>
      </c>
      <c r="E28" s="7" t="s">
        <v>1330</v>
      </c>
      <c r="F28" s="7" t="s">
        <v>1331</v>
      </c>
      <c r="G28" s="6" t="s">
        <v>593</v>
      </c>
      <c r="H28" s="6" t="s">
        <v>1407</v>
      </c>
      <c r="I28" s="7" t="s">
        <v>484</v>
      </c>
      <c r="J28" s="7" t="s">
        <v>1333</v>
      </c>
    </row>
    <row r="29" spans="1:10" ht="34" customHeight="1" x14ac:dyDescent="0.35">
      <c r="A29" s="8" t="s">
        <v>1408</v>
      </c>
      <c r="B29" s="35" t="s">
        <v>188</v>
      </c>
      <c r="C29" s="5" t="s">
        <v>1409</v>
      </c>
      <c r="D29" s="5" t="s">
        <v>837</v>
      </c>
      <c r="E29" s="8" t="s">
        <v>1359</v>
      </c>
      <c r="F29" s="8" t="s">
        <v>1360</v>
      </c>
      <c r="G29" s="5" t="s">
        <v>79</v>
      </c>
      <c r="H29" s="5" t="s">
        <v>1410</v>
      </c>
      <c r="I29" s="8" t="s">
        <v>484</v>
      </c>
      <c r="J29" s="8" t="s">
        <v>1333</v>
      </c>
    </row>
    <row r="30" spans="1:10" ht="34" customHeight="1" x14ac:dyDescent="0.35">
      <c r="A30" s="7" t="s">
        <v>514</v>
      </c>
      <c r="B30" s="37" t="s">
        <v>193</v>
      </c>
      <c r="C30" s="6" t="s">
        <v>1411</v>
      </c>
      <c r="D30" s="6" t="s">
        <v>1412</v>
      </c>
      <c r="E30" s="7" t="s">
        <v>1330</v>
      </c>
      <c r="F30" s="7" t="s">
        <v>1331</v>
      </c>
      <c r="G30" s="6" t="s">
        <v>79</v>
      </c>
      <c r="H30" s="6" t="s">
        <v>1413</v>
      </c>
      <c r="I30" s="7" t="s">
        <v>484</v>
      </c>
      <c r="J30" s="7" t="s">
        <v>1333</v>
      </c>
    </row>
    <row r="31" spans="1:10" ht="34" customHeight="1" x14ac:dyDescent="0.35">
      <c r="A31" s="8" t="s">
        <v>1414</v>
      </c>
      <c r="B31" s="34" t="s">
        <v>186</v>
      </c>
      <c r="C31" s="5" t="s">
        <v>1415</v>
      </c>
      <c r="D31" s="5" t="s">
        <v>830</v>
      </c>
      <c r="E31" s="8" t="s">
        <v>1330</v>
      </c>
      <c r="F31" s="8" t="s">
        <v>1331</v>
      </c>
      <c r="G31" s="5" t="s">
        <v>1179</v>
      </c>
      <c r="H31" s="5" t="s">
        <v>1416</v>
      </c>
      <c r="I31" s="8" t="s">
        <v>484</v>
      </c>
      <c r="J31" s="8" t="s">
        <v>1333</v>
      </c>
    </row>
    <row r="32" spans="1:10" ht="34" customHeight="1" x14ac:dyDescent="0.35">
      <c r="A32" s="7" t="s">
        <v>1417</v>
      </c>
      <c r="B32" s="35" t="s">
        <v>188</v>
      </c>
      <c r="C32" s="6" t="s">
        <v>1418</v>
      </c>
      <c r="D32" s="6" t="s">
        <v>1400</v>
      </c>
      <c r="E32" s="7" t="s">
        <v>1359</v>
      </c>
      <c r="F32" s="7" t="s">
        <v>1360</v>
      </c>
      <c r="G32" s="6" t="s">
        <v>1179</v>
      </c>
      <c r="H32" s="6" t="s">
        <v>1419</v>
      </c>
      <c r="I32" s="7" t="s">
        <v>484</v>
      </c>
      <c r="J32" s="7" t="s">
        <v>1333</v>
      </c>
    </row>
    <row r="33" spans="1:10" ht="34" customHeight="1" x14ac:dyDescent="0.35">
      <c r="A33" s="8" t="s">
        <v>1420</v>
      </c>
      <c r="B33" s="34" t="s">
        <v>186</v>
      </c>
      <c r="C33" s="5" t="s">
        <v>1421</v>
      </c>
      <c r="D33" s="5" t="s">
        <v>837</v>
      </c>
      <c r="E33" s="8" t="s">
        <v>1341</v>
      </c>
      <c r="F33" s="8" t="s">
        <v>1331</v>
      </c>
      <c r="G33" s="5" t="s">
        <v>76</v>
      </c>
      <c r="H33" s="5" t="s">
        <v>1422</v>
      </c>
      <c r="I33" s="8" t="s">
        <v>484</v>
      </c>
      <c r="J33" s="8" t="s">
        <v>1333</v>
      </c>
    </row>
    <row r="34" spans="1:10" ht="34" customHeight="1" x14ac:dyDescent="0.35">
      <c r="A34" s="7" t="s">
        <v>1423</v>
      </c>
      <c r="B34" s="34" t="s">
        <v>186</v>
      </c>
      <c r="C34" s="6" t="s">
        <v>1424</v>
      </c>
      <c r="D34" s="6" t="s">
        <v>1352</v>
      </c>
      <c r="E34" s="7" t="s">
        <v>1330</v>
      </c>
      <c r="F34" s="7" t="s">
        <v>1331</v>
      </c>
      <c r="G34" s="6" t="s">
        <v>444</v>
      </c>
      <c r="H34" s="6" t="s">
        <v>1425</v>
      </c>
      <c r="I34" s="7" t="s">
        <v>484</v>
      </c>
      <c r="J34" s="7" t="s">
        <v>1333</v>
      </c>
    </row>
    <row r="35" spans="1:10" ht="34" customHeight="1" x14ac:dyDescent="0.35">
      <c r="A35" s="8" t="s">
        <v>1426</v>
      </c>
      <c r="B35" s="34" t="s">
        <v>186</v>
      </c>
      <c r="C35" s="5" t="s">
        <v>1427</v>
      </c>
      <c r="D35" s="5" t="s">
        <v>1428</v>
      </c>
      <c r="E35" s="8" t="s">
        <v>1383</v>
      </c>
      <c r="F35" s="8" t="s">
        <v>1360</v>
      </c>
      <c r="G35" s="5" t="s">
        <v>1429</v>
      </c>
      <c r="H35" s="5" t="s">
        <v>1430</v>
      </c>
      <c r="I35" s="8" t="s">
        <v>484</v>
      </c>
      <c r="J35" s="8" t="s">
        <v>1333</v>
      </c>
    </row>
    <row r="36" spans="1:10" ht="34" customHeight="1" x14ac:dyDescent="0.35">
      <c r="A36" s="7" t="s">
        <v>1431</v>
      </c>
      <c r="B36" s="34" t="s">
        <v>186</v>
      </c>
      <c r="C36" s="6" t="s">
        <v>1432</v>
      </c>
      <c r="D36" s="6" t="s">
        <v>193</v>
      </c>
      <c r="E36" s="7" t="s">
        <v>1359</v>
      </c>
      <c r="F36" s="7" t="s">
        <v>1360</v>
      </c>
      <c r="G36" s="6" t="s">
        <v>1211</v>
      </c>
      <c r="H36" s="6" t="s">
        <v>1433</v>
      </c>
      <c r="I36" s="7" t="s">
        <v>484</v>
      </c>
      <c r="J36" s="7" t="s">
        <v>1333</v>
      </c>
    </row>
    <row r="37" spans="1:10" ht="34" customHeight="1" x14ac:dyDescent="0.35">
      <c r="A37" s="8" t="s">
        <v>518</v>
      </c>
      <c r="B37" s="37" t="s">
        <v>193</v>
      </c>
      <c r="C37" s="5" t="s">
        <v>1434</v>
      </c>
      <c r="D37" s="5" t="s">
        <v>1435</v>
      </c>
      <c r="E37" s="8" t="s">
        <v>1330</v>
      </c>
      <c r="F37" s="8" t="s">
        <v>1331</v>
      </c>
      <c r="G37" s="5" t="s">
        <v>1211</v>
      </c>
      <c r="H37" s="5" t="s">
        <v>1436</v>
      </c>
      <c r="I37" s="8" t="s">
        <v>484</v>
      </c>
      <c r="J37" s="8" t="s">
        <v>1333</v>
      </c>
    </row>
    <row r="38" spans="1:10" ht="34" customHeight="1" x14ac:dyDescent="0.35">
      <c r="A38" s="7" t="s">
        <v>522</v>
      </c>
      <c r="B38" s="37" t="s">
        <v>193</v>
      </c>
      <c r="C38" s="6" t="s">
        <v>1437</v>
      </c>
      <c r="D38" s="6" t="s">
        <v>1435</v>
      </c>
      <c r="E38" s="7" t="s">
        <v>1330</v>
      </c>
      <c r="F38" s="7" t="s">
        <v>1331</v>
      </c>
      <c r="G38" s="6" t="s">
        <v>1211</v>
      </c>
      <c r="H38" s="6" t="s">
        <v>1438</v>
      </c>
      <c r="I38" s="7" t="s">
        <v>484</v>
      </c>
      <c r="J38" s="7" t="s">
        <v>1333</v>
      </c>
    </row>
    <row r="39" spans="1:10" ht="34" customHeight="1" x14ac:dyDescent="0.35">
      <c r="A39" s="8" t="s">
        <v>528</v>
      </c>
      <c r="B39" s="37" t="s">
        <v>193</v>
      </c>
      <c r="C39" s="5" t="s">
        <v>1439</v>
      </c>
      <c r="D39" s="5" t="s">
        <v>1428</v>
      </c>
      <c r="E39" s="8" t="s">
        <v>1330</v>
      </c>
      <c r="F39" s="8" t="s">
        <v>1331</v>
      </c>
      <c r="G39" s="5" t="s">
        <v>1429</v>
      </c>
      <c r="H39" s="5" t="s">
        <v>1440</v>
      </c>
      <c r="I39" s="8" t="s">
        <v>484</v>
      </c>
      <c r="J39" s="8" t="s">
        <v>1333</v>
      </c>
    </row>
    <row r="40" spans="1:10" ht="34" customHeight="1" x14ac:dyDescent="0.35">
      <c r="A40" s="7" t="s">
        <v>1441</v>
      </c>
      <c r="B40" s="34" t="s">
        <v>186</v>
      </c>
      <c r="C40" s="6" t="s">
        <v>1442</v>
      </c>
      <c r="D40" s="6" t="s">
        <v>1443</v>
      </c>
      <c r="E40" s="7" t="s">
        <v>1444</v>
      </c>
      <c r="F40" s="7" t="s">
        <v>1445</v>
      </c>
      <c r="G40" s="6" t="s">
        <v>124</v>
      </c>
      <c r="H40" s="6" t="s">
        <v>1446</v>
      </c>
      <c r="I40" s="7" t="s">
        <v>1447</v>
      </c>
      <c r="J40" s="7" t="s">
        <v>1333</v>
      </c>
    </row>
    <row r="41" spans="1:10" ht="34" customHeight="1" x14ac:dyDescent="0.35">
      <c r="A41" s="8" t="s">
        <v>1448</v>
      </c>
      <c r="B41" s="34" t="s">
        <v>186</v>
      </c>
      <c r="C41" s="5" t="s">
        <v>1449</v>
      </c>
      <c r="D41" s="5" t="s">
        <v>830</v>
      </c>
      <c r="E41" s="8" t="s">
        <v>1330</v>
      </c>
      <c r="F41" s="8" t="s">
        <v>1450</v>
      </c>
      <c r="G41" s="5" t="s">
        <v>76</v>
      </c>
      <c r="H41" s="5" t="s">
        <v>1451</v>
      </c>
      <c r="I41" s="8" t="s">
        <v>1452</v>
      </c>
      <c r="J41" s="8" t="s">
        <v>1333</v>
      </c>
    </row>
    <row r="42" spans="1:10" ht="34" customHeight="1" x14ac:dyDescent="0.35">
      <c r="A42" s="7" t="s">
        <v>1453</v>
      </c>
      <c r="B42" s="34" t="s">
        <v>186</v>
      </c>
      <c r="C42" s="6" t="s">
        <v>1454</v>
      </c>
      <c r="D42" s="6" t="s">
        <v>1364</v>
      </c>
      <c r="E42" s="7" t="s">
        <v>1359</v>
      </c>
      <c r="F42" s="7" t="s">
        <v>1450</v>
      </c>
      <c r="G42" s="6" t="s">
        <v>296</v>
      </c>
      <c r="H42" s="6" t="s">
        <v>1455</v>
      </c>
      <c r="I42" s="7" t="s">
        <v>1456</v>
      </c>
      <c r="J42" s="7" t="s">
        <v>1333</v>
      </c>
    </row>
    <row r="43" spans="1:10" ht="34" customHeight="1" x14ac:dyDescent="0.35">
      <c r="A43" s="8" t="s">
        <v>1457</v>
      </c>
      <c r="B43" s="34" t="s">
        <v>186</v>
      </c>
      <c r="C43" s="5" t="s">
        <v>1458</v>
      </c>
      <c r="D43" s="5" t="s">
        <v>1352</v>
      </c>
      <c r="E43" s="8" t="s">
        <v>1444</v>
      </c>
      <c r="F43" s="8" t="s">
        <v>1445</v>
      </c>
      <c r="G43" s="5" t="s">
        <v>1459</v>
      </c>
      <c r="H43" s="5" t="s">
        <v>1460</v>
      </c>
      <c r="I43" s="8" t="s">
        <v>678</v>
      </c>
      <c r="J43" s="8" t="s">
        <v>1333</v>
      </c>
    </row>
    <row r="44" spans="1:10" ht="34" customHeight="1" x14ac:dyDescent="0.35">
      <c r="A44" s="7" t="s">
        <v>1461</v>
      </c>
      <c r="B44" s="34" t="s">
        <v>186</v>
      </c>
      <c r="C44" s="6" t="s">
        <v>1462</v>
      </c>
      <c r="D44" s="6" t="s">
        <v>830</v>
      </c>
      <c r="E44" s="7" t="s">
        <v>1330</v>
      </c>
      <c r="F44" s="7" t="s">
        <v>1450</v>
      </c>
      <c r="G44" s="6" t="s">
        <v>1211</v>
      </c>
      <c r="H44" s="6" t="s">
        <v>1463</v>
      </c>
      <c r="I44" s="7" t="s">
        <v>1464</v>
      </c>
      <c r="J44" s="7" t="s">
        <v>1333</v>
      </c>
    </row>
    <row r="45" spans="1:10" ht="34" customHeight="1" x14ac:dyDescent="0.35">
      <c r="A45" s="8" t="s">
        <v>1465</v>
      </c>
      <c r="B45" s="34" t="s">
        <v>186</v>
      </c>
      <c r="C45" s="5" t="s">
        <v>1466</v>
      </c>
      <c r="D45" s="5" t="s">
        <v>1467</v>
      </c>
      <c r="E45" s="8" t="s">
        <v>1359</v>
      </c>
      <c r="F45" s="8" t="s">
        <v>1450</v>
      </c>
      <c r="G45" s="5" t="s">
        <v>63</v>
      </c>
      <c r="H45" s="5" t="s">
        <v>1468</v>
      </c>
      <c r="I45" s="8" t="s">
        <v>1469</v>
      </c>
      <c r="J45" s="8" t="s">
        <v>1333</v>
      </c>
    </row>
    <row r="46" spans="1:10" ht="34" customHeight="1" x14ac:dyDescent="0.35">
      <c r="A46" s="7" t="s">
        <v>532</v>
      </c>
      <c r="B46" s="37" t="s">
        <v>193</v>
      </c>
      <c r="C46" s="6" t="s">
        <v>1470</v>
      </c>
      <c r="D46" s="6" t="s">
        <v>294</v>
      </c>
      <c r="E46" s="7" t="s">
        <v>1444</v>
      </c>
      <c r="F46" s="7" t="s">
        <v>1445</v>
      </c>
      <c r="G46" s="6" t="s">
        <v>1471</v>
      </c>
      <c r="H46" s="6" t="s">
        <v>1472</v>
      </c>
      <c r="I46" s="7" t="s">
        <v>1447</v>
      </c>
      <c r="J46" s="7" t="s">
        <v>1333</v>
      </c>
    </row>
    <row r="47" spans="1:10" ht="34" customHeight="1" x14ac:dyDescent="0.35">
      <c r="A47" s="8" t="s">
        <v>537</v>
      </c>
      <c r="B47" s="37" t="s">
        <v>193</v>
      </c>
      <c r="C47" s="5" t="s">
        <v>1473</v>
      </c>
      <c r="D47" s="5" t="s">
        <v>1474</v>
      </c>
      <c r="E47" s="8" t="s">
        <v>1444</v>
      </c>
      <c r="F47" s="8" t="s">
        <v>1445</v>
      </c>
      <c r="G47" s="5" t="s">
        <v>1475</v>
      </c>
      <c r="H47" s="5" t="s">
        <v>1476</v>
      </c>
      <c r="I47" s="8" t="s">
        <v>1447</v>
      </c>
      <c r="J47" s="8" t="s">
        <v>1333</v>
      </c>
    </row>
    <row r="48" spans="1:10" ht="34" customHeight="1" x14ac:dyDescent="0.35">
      <c r="A48" s="7" t="s">
        <v>1477</v>
      </c>
      <c r="B48" s="37" t="s">
        <v>193</v>
      </c>
      <c r="C48" s="6" t="s">
        <v>1478</v>
      </c>
      <c r="D48" s="6" t="s">
        <v>1352</v>
      </c>
      <c r="E48" s="7" t="s">
        <v>1444</v>
      </c>
      <c r="F48" s="7" t="s">
        <v>1445</v>
      </c>
      <c r="G48" s="6" t="s">
        <v>1479</v>
      </c>
      <c r="H48" s="6" t="s">
        <v>1480</v>
      </c>
      <c r="I48" s="7" t="s">
        <v>678</v>
      </c>
      <c r="J48" s="7" t="s">
        <v>1333</v>
      </c>
    </row>
    <row r="49" spans="1:10" ht="34" customHeight="1" x14ac:dyDescent="0.35">
      <c r="A49" s="8" t="s">
        <v>1481</v>
      </c>
      <c r="B49" s="37" t="s">
        <v>193</v>
      </c>
      <c r="C49" s="5" t="s">
        <v>1482</v>
      </c>
      <c r="D49" s="5" t="s">
        <v>1483</v>
      </c>
      <c r="E49" s="8" t="s">
        <v>1330</v>
      </c>
      <c r="F49" s="8" t="s">
        <v>1450</v>
      </c>
      <c r="G49" s="5" t="s">
        <v>296</v>
      </c>
      <c r="H49" s="5" t="s">
        <v>1484</v>
      </c>
      <c r="I49" s="8" t="s">
        <v>1485</v>
      </c>
      <c r="J49" s="8" t="s">
        <v>1333</v>
      </c>
    </row>
    <row r="51" spans="1:10" ht="22" customHeight="1" x14ac:dyDescent="0.35">
      <c r="A51" s="122" t="s">
        <v>1486</v>
      </c>
      <c r="B51" s="120"/>
      <c r="C51" s="120"/>
      <c r="D51" s="120"/>
      <c r="E51" s="120"/>
      <c r="F51" s="120"/>
      <c r="G51" s="120"/>
      <c r="H51" s="120"/>
      <c r="I51" s="120"/>
      <c r="J51" s="120"/>
    </row>
    <row r="52" spans="1:10" x14ac:dyDescent="0.35">
      <c r="A52" s="137" t="s">
        <v>1487</v>
      </c>
      <c r="B52" s="120"/>
      <c r="C52" s="136" t="s">
        <v>1488</v>
      </c>
      <c r="D52" s="120"/>
      <c r="E52" s="120"/>
      <c r="F52" s="120"/>
      <c r="G52" s="120"/>
      <c r="H52" s="120"/>
      <c r="I52" s="120"/>
      <c r="J52" s="120"/>
    </row>
    <row r="53" spans="1:10" x14ac:dyDescent="0.35">
      <c r="A53" s="137" t="s">
        <v>482</v>
      </c>
      <c r="B53" s="120"/>
      <c r="C53" s="136" t="s">
        <v>1489</v>
      </c>
      <c r="D53" s="120"/>
      <c r="E53" s="120"/>
      <c r="F53" s="120"/>
      <c r="G53" s="120"/>
      <c r="H53" s="120"/>
      <c r="I53" s="120"/>
      <c r="J53" s="120"/>
    </row>
    <row r="54" spans="1:10" x14ac:dyDescent="0.35">
      <c r="A54" s="137" t="s">
        <v>1325</v>
      </c>
      <c r="B54" s="120"/>
      <c r="C54" s="136" t="s">
        <v>1490</v>
      </c>
      <c r="D54" s="120"/>
      <c r="E54" s="120"/>
      <c r="F54" s="120"/>
      <c r="G54" s="120"/>
      <c r="H54" s="120"/>
      <c r="I54" s="120"/>
      <c r="J54" s="120"/>
    </row>
    <row r="55" spans="1:10" x14ac:dyDescent="0.35">
      <c r="A55" s="137" t="s">
        <v>26</v>
      </c>
      <c r="B55" s="120"/>
      <c r="C55" s="136" t="s">
        <v>1491</v>
      </c>
      <c r="D55" s="120"/>
      <c r="E55" s="120"/>
      <c r="F55" s="120"/>
      <c r="G55" s="120"/>
      <c r="H55" s="120"/>
      <c r="I55" s="120"/>
      <c r="J55" s="120"/>
    </row>
    <row r="56" spans="1:10" x14ac:dyDescent="0.35">
      <c r="A56" s="137" t="s">
        <v>1492</v>
      </c>
      <c r="B56" s="120"/>
      <c r="C56" s="136" t="s">
        <v>1493</v>
      </c>
      <c r="D56" s="120"/>
      <c r="E56" s="120"/>
      <c r="F56" s="120"/>
      <c r="G56" s="120"/>
      <c r="H56" s="120"/>
      <c r="I56" s="120"/>
      <c r="J56" s="120"/>
    </row>
  </sheetData>
  <mergeCells count="14">
    <mergeCell ref="A1:J1"/>
    <mergeCell ref="C56:J56"/>
    <mergeCell ref="A54:B54"/>
    <mergeCell ref="A52:B52"/>
    <mergeCell ref="C52:J52"/>
    <mergeCell ref="A56:B56"/>
    <mergeCell ref="C54:J54"/>
    <mergeCell ref="A4:J4"/>
    <mergeCell ref="A2:J2"/>
    <mergeCell ref="C55:J55"/>
    <mergeCell ref="C53:J53"/>
    <mergeCell ref="A53:B53"/>
    <mergeCell ref="A55:B55"/>
    <mergeCell ref="A51:J51"/>
  </mergeCells>
  <conditionalFormatting sqref="J6:J49">
    <cfRule type="cellIs" dxfId="5" priority="1" operator="equal">
      <formula>"Escalated"</formula>
    </cfRule>
    <cfRule type="cellIs" dxfId="4" priority="2" operator="equal">
      <formula>"Closed"</formula>
    </cfRule>
    <cfRule type="cellIs" dxfId="3" priority="3" operator="equal">
      <formula>"Mitigated"</formula>
    </cfRule>
  </conditionalFormatting>
  <dataValidations count="2">
    <dataValidation type="list" allowBlank="1" sqref="B6:B49" xr:uid="{00000000-0002-0000-0A00-000000000000}">
      <formula1>"Risk,Assumption,Issue,Dependency"</formula1>
    </dataValidation>
    <dataValidation type="list" allowBlank="1" sqref="J6:J49" xr:uid="{00000000-0002-0000-0A00-000001000000}">
      <formula1>"Open,In Progress,Mitigated,Closed,Escalated"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1"/>
  <sheetViews>
    <sheetView showGridLines="0" workbookViewId="0">
      <selection sqref="A1:H1"/>
    </sheetView>
  </sheetViews>
  <sheetFormatPr defaultRowHeight="14.5" x14ac:dyDescent="0.35"/>
  <cols>
    <col min="1" max="1" width="10" customWidth="1"/>
    <col min="2" max="2" width="38" customWidth="1"/>
    <col min="3" max="3" width="15" customWidth="1"/>
    <col min="4" max="4" width="10" customWidth="1"/>
    <col min="5" max="6" width="26" customWidth="1"/>
    <col min="7" max="7" width="30" customWidth="1"/>
    <col min="8" max="8" width="18" customWidth="1"/>
  </cols>
  <sheetData>
    <row r="1" spans="1:8" ht="30" customHeight="1" x14ac:dyDescent="0.35">
      <c r="A1" s="119" t="s">
        <v>1494</v>
      </c>
      <c r="B1" s="120"/>
      <c r="C1" s="120"/>
      <c r="D1" s="120"/>
      <c r="E1" s="120"/>
      <c r="F1" s="120"/>
      <c r="G1" s="120"/>
      <c r="H1" s="120"/>
    </row>
    <row r="2" spans="1:8" ht="18" customHeight="1" x14ac:dyDescent="0.35">
      <c r="A2" s="125" t="s">
        <v>1495</v>
      </c>
      <c r="B2" s="120"/>
      <c r="C2" s="120"/>
      <c r="D2" s="120"/>
      <c r="E2" s="120"/>
      <c r="F2" s="120"/>
      <c r="G2" s="120"/>
      <c r="H2" s="120"/>
    </row>
    <row r="4" spans="1:8" ht="30" customHeight="1" x14ac:dyDescent="0.35">
      <c r="A4" s="4" t="s">
        <v>1496</v>
      </c>
      <c r="B4" s="4" t="s">
        <v>1497</v>
      </c>
      <c r="C4" s="4" t="s">
        <v>185</v>
      </c>
      <c r="D4" s="4" t="s">
        <v>24</v>
      </c>
      <c r="E4" s="4" t="s">
        <v>60</v>
      </c>
      <c r="F4" s="4" t="s">
        <v>1498</v>
      </c>
      <c r="G4" s="4" t="s">
        <v>1499</v>
      </c>
      <c r="H4" s="4" t="s">
        <v>26</v>
      </c>
    </row>
    <row r="5" spans="1:8" x14ac:dyDescent="0.35">
      <c r="A5" s="8" t="s">
        <v>1500</v>
      </c>
      <c r="B5" s="5" t="s">
        <v>1501</v>
      </c>
      <c r="C5" s="5" t="s">
        <v>1502</v>
      </c>
      <c r="D5" s="8" t="s">
        <v>1503</v>
      </c>
      <c r="E5" s="5" t="s">
        <v>76</v>
      </c>
      <c r="F5" s="5" t="s">
        <v>134</v>
      </c>
      <c r="G5" s="5" t="s">
        <v>1504</v>
      </c>
      <c r="H5" s="8" t="s">
        <v>1505</v>
      </c>
    </row>
    <row r="6" spans="1:8" x14ac:dyDescent="0.35">
      <c r="A6" s="7" t="s">
        <v>1506</v>
      </c>
      <c r="B6" s="6" t="s">
        <v>1507</v>
      </c>
      <c r="C6" s="6" t="s">
        <v>1508</v>
      </c>
      <c r="D6" s="7" t="s">
        <v>1503</v>
      </c>
      <c r="E6" s="6" t="s">
        <v>1509</v>
      </c>
      <c r="F6" s="6" t="s">
        <v>138</v>
      </c>
      <c r="G6" s="6" t="s">
        <v>1510</v>
      </c>
      <c r="H6" s="7" t="s">
        <v>1511</v>
      </c>
    </row>
    <row r="7" spans="1:8" x14ac:dyDescent="0.35">
      <c r="A7" s="8" t="s">
        <v>1512</v>
      </c>
      <c r="B7" s="5" t="s">
        <v>1513</v>
      </c>
      <c r="C7" s="5" t="s">
        <v>1514</v>
      </c>
      <c r="D7" s="8" t="s">
        <v>1503</v>
      </c>
      <c r="E7" s="5" t="s">
        <v>1515</v>
      </c>
      <c r="F7" s="5" t="s">
        <v>138</v>
      </c>
      <c r="G7" s="5" t="s">
        <v>1510</v>
      </c>
      <c r="H7" s="8" t="s">
        <v>1511</v>
      </c>
    </row>
    <row r="8" spans="1:8" x14ac:dyDescent="0.35">
      <c r="A8" s="7" t="s">
        <v>1516</v>
      </c>
      <c r="B8" s="6" t="s">
        <v>1517</v>
      </c>
      <c r="C8" s="6" t="s">
        <v>1518</v>
      </c>
      <c r="D8" s="7" t="s">
        <v>1503</v>
      </c>
      <c r="E8" s="6" t="s">
        <v>1509</v>
      </c>
      <c r="F8" s="6" t="s">
        <v>138</v>
      </c>
      <c r="G8" s="6" t="s">
        <v>1510</v>
      </c>
      <c r="H8" s="7" t="s">
        <v>1511</v>
      </c>
    </row>
    <row r="9" spans="1:8" x14ac:dyDescent="0.35">
      <c r="A9" s="8" t="s">
        <v>1519</v>
      </c>
      <c r="B9" s="5" t="s">
        <v>1520</v>
      </c>
      <c r="C9" s="5" t="s">
        <v>1521</v>
      </c>
      <c r="D9" s="8" t="s">
        <v>1503</v>
      </c>
      <c r="E9" s="5" t="s">
        <v>1211</v>
      </c>
      <c r="F9" s="5" t="s">
        <v>142</v>
      </c>
      <c r="G9" s="5" t="s">
        <v>1522</v>
      </c>
      <c r="H9" s="8" t="s">
        <v>1523</v>
      </c>
    </row>
    <row r="10" spans="1:8" x14ac:dyDescent="0.35">
      <c r="A10" s="7" t="s">
        <v>1524</v>
      </c>
      <c r="B10" s="6" t="s">
        <v>1525</v>
      </c>
      <c r="C10" s="6" t="s">
        <v>1521</v>
      </c>
      <c r="D10" s="7" t="s">
        <v>1503</v>
      </c>
      <c r="E10" s="6" t="s">
        <v>1211</v>
      </c>
      <c r="F10" s="6" t="s">
        <v>142</v>
      </c>
      <c r="G10" s="6" t="s">
        <v>1526</v>
      </c>
      <c r="H10" s="7" t="s">
        <v>1523</v>
      </c>
    </row>
    <row r="11" spans="1:8" x14ac:dyDescent="0.35">
      <c r="A11" s="8" t="s">
        <v>1527</v>
      </c>
      <c r="B11" s="5" t="s">
        <v>1528</v>
      </c>
      <c r="C11" s="5" t="s">
        <v>1502</v>
      </c>
      <c r="D11" s="8" t="s">
        <v>1503</v>
      </c>
      <c r="E11" s="5" t="s">
        <v>94</v>
      </c>
      <c r="F11" s="5" t="s">
        <v>142</v>
      </c>
      <c r="G11" s="5" t="s">
        <v>1529</v>
      </c>
      <c r="H11" s="8" t="s">
        <v>1505</v>
      </c>
    </row>
    <row r="12" spans="1:8" x14ac:dyDescent="0.35">
      <c r="A12" s="7" t="s">
        <v>1530</v>
      </c>
      <c r="B12" s="6" t="s">
        <v>1531</v>
      </c>
      <c r="C12" s="6" t="s">
        <v>1514</v>
      </c>
      <c r="D12" s="7" t="s">
        <v>1503</v>
      </c>
      <c r="E12" s="6" t="s">
        <v>94</v>
      </c>
      <c r="F12" s="6" t="s">
        <v>830</v>
      </c>
      <c r="G12" s="6" t="s">
        <v>1532</v>
      </c>
      <c r="H12" s="7" t="s">
        <v>1533</v>
      </c>
    </row>
    <row r="13" spans="1:8" x14ac:dyDescent="0.35">
      <c r="A13" s="8" t="s">
        <v>1534</v>
      </c>
      <c r="B13" s="5" t="s">
        <v>1535</v>
      </c>
      <c r="C13" s="5" t="s">
        <v>1536</v>
      </c>
      <c r="D13" s="8" t="s">
        <v>310</v>
      </c>
      <c r="E13" s="5" t="s">
        <v>76</v>
      </c>
      <c r="F13" s="5" t="s">
        <v>1382</v>
      </c>
      <c r="G13" s="5" t="s">
        <v>1537</v>
      </c>
      <c r="H13" s="8" t="s">
        <v>1538</v>
      </c>
    </row>
    <row r="14" spans="1:8" x14ac:dyDescent="0.35">
      <c r="A14" s="7" t="s">
        <v>1539</v>
      </c>
      <c r="B14" s="6" t="s">
        <v>1540</v>
      </c>
      <c r="C14" s="6" t="s">
        <v>1514</v>
      </c>
      <c r="D14" s="7" t="s">
        <v>1503</v>
      </c>
      <c r="E14" s="6" t="s">
        <v>10</v>
      </c>
      <c r="F14" s="6" t="s">
        <v>1382</v>
      </c>
      <c r="G14" s="6" t="s">
        <v>1541</v>
      </c>
      <c r="H14" s="7" t="s">
        <v>1505</v>
      </c>
    </row>
    <row r="15" spans="1:8" x14ac:dyDescent="0.35">
      <c r="A15" s="8" t="s">
        <v>1542</v>
      </c>
      <c r="B15" s="5" t="s">
        <v>95</v>
      </c>
      <c r="C15" s="5" t="s">
        <v>1514</v>
      </c>
      <c r="D15" s="8" t="s">
        <v>310</v>
      </c>
      <c r="E15" s="5" t="s">
        <v>94</v>
      </c>
      <c r="F15" s="5" t="s">
        <v>830</v>
      </c>
      <c r="G15" s="5" t="s">
        <v>1543</v>
      </c>
      <c r="H15" s="8" t="s">
        <v>1533</v>
      </c>
    </row>
    <row r="16" spans="1:8" x14ac:dyDescent="0.35">
      <c r="A16" s="7" t="s">
        <v>1544</v>
      </c>
      <c r="B16" s="6" t="s">
        <v>87</v>
      </c>
      <c r="C16" s="6" t="s">
        <v>1514</v>
      </c>
      <c r="D16" s="7" t="s">
        <v>1503</v>
      </c>
      <c r="E16" s="6" t="s">
        <v>10</v>
      </c>
      <c r="F16" s="6" t="s">
        <v>1382</v>
      </c>
      <c r="G16" s="6" t="s">
        <v>1545</v>
      </c>
      <c r="H16" s="7" t="s">
        <v>1546</v>
      </c>
    </row>
    <row r="17" spans="1:8" x14ac:dyDescent="0.35">
      <c r="A17" s="8" t="s">
        <v>1547</v>
      </c>
      <c r="B17" s="5" t="s">
        <v>1548</v>
      </c>
      <c r="C17" s="5" t="s">
        <v>1514</v>
      </c>
      <c r="D17" s="8" t="s">
        <v>1503</v>
      </c>
      <c r="E17" s="5" t="s">
        <v>79</v>
      </c>
      <c r="F17" s="5" t="s">
        <v>77</v>
      </c>
      <c r="G17" s="5" t="s">
        <v>1549</v>
      </c>
      <c r="H17" s="8" t="s">
        <v>1546</v>
      </c>
    </row>
    <row r="18" spans="1:8" ht="26" x14ac:dyDescent="0.35">
      <c r="A18" s="7" t="s">
        <v>1550</v>
      </c>
      <c r="B18" s="6" t="s">
        <v>1551</v>
      </c>
      <c r="C18" s="6" t="s">
        <v>1552</v>
      </c>
      <c r="D18" s="7" t="s">
        <v>1553</v>
      </c>
      <c r="E18" s="6" t="s">
        <v>101</v>
      </c>
      <c r="F18" s="6" t="s">
        <v>1554</v>
      </c>
      <c r="G18" s="6" t="s">
        <v>1555</v>
      </c>
      <c r="H18" s="7" t="s">
        <v>1556</v>
      </c>
    </row>
    <row r="19" spans="1:8" ht="26" x14ac:dyDescent="0.35">
      <c r="A19" s="8" t="s">
        <v>1557</v>
      </c>
      <c r="B19" s="5" t="s">
        <v>1558</v>
      </c>
      <c r="C19" s="5" t="s">
        <v>1322</v>
      </c>
      <c r="D19" s="8" t="s">
        <v>1559</v>
      </c>
      <c r="E19" s="5" t="s">
        <v>76</v>
      </c>
      <c r="F19" s="5" t="s">
        <v>1382</v>
      </c>
      <c r="G19" s="5" t="s">
        <v>1560</v>
      </c>
      <c r="H19" s="8" t="s">
        <v>1546</v>
      </c>
    </row>
    <row r="20" spans="1:8" x14ac:dyDescent="0.35">
      <c r="A20" s="7" t="s">
        <v>1561</v>
      </c>
      <c r="B20" s="6" t="s">
        <v>1562</v>
      </c>
      <c r="C20" s="6" t="s">
        <v>1552</v>
      </c>
      <c r="D20" s="7" t="s">
        <v>1559</v>
      </c>
      <c r="E20" s="6" t="s">
        <v>94</v>
      </c>
      <c r="F20" s="6" t="s">
        <v>1554</v>
      </c>
      <c r="G20" s="6" t="s">
        <v>1563</v>
      </c>
      <c r="H20" s="7" t="s">
        <v>1546</v>
      </c>
    </row>
    <row r="21" spans="1:8" ht="26" x14ac:dyDescent="0.35">
      <c r="A21" s="8" t="s">
        <v>1564</v>
      </c>
      <c r="B21" s="5" t="s">
        <v>1565</v>
      </c>
      <c r="C21" s="5" t="s">
        <v>1566</v>
      </c>
      <c r="D21" s="8" t="s">
        <v>1559</v>
      </c>
      <c r="E21" s="5" t="s">
        <v>94</v>
      </c>
      <c r="F21" s="5" t="s">
        <v>1554</v>
      </c>
      <c r="G21" s="5" t="s">
        <v>1567</v>
      </c>
      <c r="H21" s="8" t="s">
        <v>1546</v>
      </c>
    </row>
    <row r="22" spans="1:8" ht="26" x14ac:dyDescent="0.35">
      <c r="A22" s="7" t="s">
        <v>1568</v>
      </c>
      <c r="B22" s="6" t="s">
        <v>1569</v>
      </c>
      <c r="C22" s="6" t="s">
        <v>1322</v>
      </c>
      <c r="D22" s="7" t="s">
        <v>1559</v>
      </c>
      <c r="E22" s="6" t="s">
        <v>94</v>
      </c>
      <c r="F22" s="6" t="s">
        <v>1554</v>
      </c>
      <c r="G22" s="6" t="s">
        <v>1563</v>
      </c>
      <c r="H22" s="7" t="s">
        <v>1546</v>
      </c>
    </row>
    <row r="23" spans="1:8" ht="26" x14ac:dyDescent="0.35">
      <c r="A23" s="8" t="s">
        <v>1570</v>
      </c>
      <c r="B23" s="5" t="s">
        <v>1571</v>
      </c>
      <c r="C23" s="5" t="s">
        <v>1566</v>
      </c>
      <c r="D23" s="8" t="s">
        <v>1559</v>
      </c>
      <c r="E23" s="5" t="s">
        <v>101</v>
      </c>
      <c r="F23" s="5" t="s">
        <v>1572</v>
      </c>
      <c r="G23" s="5" t="s">
        <v>1567</v>
      </c>
      <c r="H23" s="8" t="s">
        <v>1546</v>
      </c>
    </row>
    <row r="24" spans="1:8" ht="26" x14ac:dyDescent="0.35">
      <c r="A24" s="7" t="s">
        <v>1573</v>
      </c>
      <c r="B24" s="6" t="s">
        <v>1574</v>
      </c>
      <c r="C24" s="6" t="s">
        <v>1575</v>
      </c>
      <c r="D24" s="7" t="s">
        <v>1559</v>
      </c>
      <c r="E24" s="6" t="s">
        <v>94</v>
      </c>
      <c r="F24" s="6" t="s">
        <v>1572</v>
      </c>
      <c r="G24" s="6" t="s">
        <v>1563</v>
      </c>
      <c r="H24" s="7" t="s">
        <v>1546</v>
      </c>
    </row>
    <row r="26" spans="1:8" ht="22" customHeight="1" x14ac:dyDescent="0.35">
      <c r="A26" s="122" t="s">
        <v>1576</v>
      </c>
      <c r="B26" s="120"/>
      <c r="C26" s="120"/>
      <c r="D26" s="120"/>
      <c r="E26" s="120"/>
      <c r="F26" s="120"/>
      <c r="G26" s="120"/>
      <c r="H26" s="120"/>
    </row>
    <row r="27" spans="1:8" x14ac:dyDescent="0.35">
      <c r="A27" s="132" t="s">
        <v>1577</v>
      </c>
      <c r="B27" s="120"/>
      <c r="C27" s="120"/>
      <c r="D27" s="120"/>
      <c r="E27" s="120"/>
      <c r="F27" s="120"/>
      <c r="G27" s="120"/>
      <c r="H27" s="120"/>
    </row>
    <row r="28" spans="1:8" x14ac:dyDescent="0.35">
      <c r="A28" s="132" t="s">
        <v>1578</v>
      </c>
      <c r="B28" s="120"/>
      <c r="C28" s="120"/>
      <c r="D28" s="120"/>
      <c r="E28" s="120"/>
      <c r="F28" s="120"/>
      <c r="G28" s="120"/>
      <c r="H28" s="120"/>
    </row>
    <row r="29" spans="1:8" x14ac:dyDescent="0.35">
      <c r="A29" s="132" t="s">
        <v>1579</v>
      </c>
      <c r="B29" s="120"/>
      <c r="C29" s="120"/>
      <c r="D29" s="120"/>
      <c r="E29" s="120"/>
      <c r="F29" s="120"/>
      <c r="G29" s="120"/>
      <c r="H29" s="120"/>
    </row>
    <row r="30" spans="1:8" x14ac:dyDescent="0.35">
      <c r="A30" s="132" t="s">
        <v>1580</v>
      </c>
      <c r="B30" s="120"/>
      <c r="C30" s="120"/>
      <c r="D30" s="120"/>
      <c r="E30" s="120"/>
      <c r="F30" s="120"/>
      <c r="G30" s="120"/>
      <c r="H30" s="120"/>
    </row>
    <row r="31" spans="1:8" x14ac:dyDescent="0.35">
      <c r="A31" s="132" t="s">
        <v>1581</v>
      </c>
      <c r="B31" s="120"/>
      <c r="C31" s="120"/>
      <c r="D31" s="120"/>
      <c r="E31" s="120"/>
      <c r="F31" s="120"/>
      <c r="G31" s="120"/>
      <c r="H31" s="120"/>
    </row>
  </sheetData>
  <mergeCells count="8">
    <mergeCell ref="A1:H1"/>
    <mergeCell ref="A27:H27"/>
    <mergeCell ref="A31:H31"/>
    <mergeCell ref="A26:H26"/>
    <mergeCell ref="A30:H30"/>
    <mergeCell ref="A29:H29"/>
    <mergeCell ref="A2:H2"/>
    <mergeCell ref="A28:H2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34"/>
  <sheetViews>
    <sheetView showGridLines="0" workbookViewId="0">
      <pane xSplit="1" ySplit="4" topLeftCell="B5" activePane="bottomRight" state="frozen"/>
      <selection pane="topRight"/>
      <selection pane="bottomLeft"/>
      <selection pane="bottomRight" sqref="A1:O1"/>
    </sheetView>
  </sheetViews>
  <sheetFormatPr defaultRowHeight="14.5" x14ac:dyDescent="0.35"/>
  <cols>
    <col min="1" max="1" width="30" customWidth="1"/>
    <col min="2" max="11" width="10" customWidth="1"/>
    <col min="12" max="12" width="11" customWidth="1"/>
    <col min="13" max="13" width="3" customWidth="1"/>
    <col min="14" max="14" width="34" customWidth="1"/>
    <col min="15" max="15" width="17" customWidth="1"/>
  </cols>
  <sheetData>
    <row r="1" spans="1:15" ht="30" customHeight="1" x14ac:dyDescent="0.35">
      <c r="A1" s="140" t="s">
        <v>1582</v>
      </c>
      <c r="B1" s="120"/>
      <c r="C1" s="120"/>
      <c r="D1" s="120"/>
      <c r="E1" s="120"/>
      <c r="F1" s="120"/>
      <c r="G1" s="120"/>
      <c r="H1" s="120"/>
      <c r="I1" s="120"/>
      <c r="J1" s="120"/>
      <c r="K1" s="120"/>
      <c r="L1" s="120"/>
      <c r="M1" s="120"/>
      <c r="N1" s="120"/>
      <c r="O1" s="120"/>
    </row>
    <row r="2" spans="1:15" ht="18" customHeight="1" x14ac:dyDescent="0.35">
      <c r="A2" s="138" t="s">
        <v>1583</v>
      </c>
      <c r="B2" s="120"/>
      <c r="C2" s="120"/>
      <c r="D2" s="120"/>
      <c r="E2" s="120"/>
      <c r="F2" s="120"/>
      <c r="G2" s="120"/>
      <c r="H2" s="120"/>
      <c r="I2" s="120"/>
      <c r="J2" s="120"/>
      <c r="K2" s="120"/>
      <c r="L2" s="120"/>
      <c r="M2" s="120"/>
      <c r="N2" s="120"/>
      <c r="O2" s="120"/>
    </row>
    <row r="4" spans="1:15" ht="40" customHeight="1" x14ac:dyDescent="0.35">
      <c r="A4" s="38" t="s">
        <v>266</v>
      </c>
      <c r="B4" s="39" t="s">
        <v>76</v>
      </c>
      <c r="C4" s="39" t="s">
        <v>94</v>
      </c>
      <c r="D4" s="39" t="s">
        <v>728</v>
      </c>
      <c r="E4" s="39" t="s">
        <v>1250</v>
      </c>
      <c r="F4" s="39" t="s">
        <v>1584</v>
      </c>
      <c r="G4" s="39" t="s">
        <v>1585</v>
      </c>
      <c r="H4" s="39" t="s">
        <v>296</v>
      </c>
      <c r="I4" s="39" t="s">
        <v>1586</v>
      </c>
      <c r="J4" s="39" t="s">
        <v>659</v>
      </c>
      <c r="K4" s="39" t="s">
        <v>79</v>
      </c>
      <c r="L4" s="40" t="s">
        <v>1587</v>
      </c>
      <c r="N4" s="41" t="s">
        <v>1588</v>
      </c>
    </row>
    <row r="5" spans="1:15" x14ac:dyDescent="0.35">
      <c r="A5" s="42" t="s">
        <v>1589</v>
      </c>
      <c r="B5" s="43">
        <f t="shared" ref="B5:K5" si="0">$O$9</f>
        <v>4</v>
      </c>
      <c r="C5" s="43">
        <f t="shared" si="0"/>
        <v>4</v>
      </c>
      <c r="D5" s="43">
        <f t="shared" si="0"/>
        <v>4</v>
      </c>
      <c r="E5" s="43">
        <f t="shared" si="0"/>
        <v>4</v>
      </c>
      <c r="F5" s="43">
        <f t="shared" si="0"/>
        <v>4</v>
      </c>
      <c r="G5" s="43">
        <f t="shared" si="0"/>
        <v>4</v>
      </c>
      <c r="H5" s="43">
        <f t="shared" si="0"/>
        <v>4</v>
      </c>
      <c r="I5" s="43">
        <f t="shared" si="0"/>
        <v>4</v>
      </c>
      <c r="J5" s="43">
        <f t="shared" si="0"/>
        <v>4</v>
      </c>
      <c r="K5" s="43">
        <f t="shared" si="0"/>
        <v>4</v>
      </c>
      <c r="L5" s="44">
        <f t="shared" ref="L5:L14" si="1">SUM(B5:K5)</f>
        <v>40</v>
      </c>
      <c r="N5" s="45" t="s">
        <v>1590</v>
      </c>
      <c r="O5" s="46" t="s">
        <v>1591</v>
      </c>
    </row>
    <row r="6" spans="1:15" x14ac:dyDescent="0.35">
      <c r="A6" s="42" t="s">
        <v>1592</v>
      </c>
      <c r="B6" s="43">
        <f t="shared" ref="B6:K6" si="2">$O$10</f>
        <v>4</v>
      </c>
      <c r="C6" s="43">
        <f t="shared" si="2"/>
        <v>4</v>
      </c>
      <c r="D6" s="43">
        <f t="shared" si="2"/>
        <v>4</v>
      </c>
      <c r="E6" s="43">
        <f t="shared" si="2"/>
        <v>4</v>
      </c>
      <c r="F6" s="43">
        <f t="shared" si="2"/>
        <v>4</v>
      </c>
      <c r="G6" s="43">
        <f t="shared" si="2"/>
        <v>4</v>
      </c>
      <c r="H6" s="43">
        <f t="shared" si="2"/>
        <v>4</v>
      </c>
      <c r="I6" s="43">
        <f t="shared" si="2"/>
        <v>4</v>
      </c>
      <c r="J6" s="43">
        <f t="shared" si="2"/>
        <v>4</v>
      </c>
      <c r="K6" s="43">
        <f t="shared" si="2"/>
        <v>4</v>
      </c>
      <c r="L6" s="44">
        <f t="shared" si="1"/>
        <v>40</v>
      </c>
      <c r="N6" s="45" t="s">
        <v>1593</v>
      </c>
      <c r="O6" s="47">
        <v>46328</v>
      </c>
    </row>
    <row r="7" spans="1:15" x14ac:dyDescent="0.35">
      <c r="A7" s="42" t="s">
        <v>1594</v>
      </c>
      <c r="B7" s="43">
        <f t="shared" ref="B7:K7" si="3">$O$11/60*$O$19</f>
        <v>2.5</v>
      </c>
      <c r="C7" s="43">
        <f t="shared" si="3"/>
        <v>2.5</v>
      </c>
      <c r="D7" s="43">
        <f t="shared" si="3"/>
        <v>2.5</v>
      </c>
      <c r="E7" s="43">
        <f t="shared" si="3"/>
        <v>2.5</v>
      </c>
      <c r="F7" s="43">
        <f t="shared" si="3"/>
        <v>2.5</v>
      </c>
      <c r="G7" s="43">
        <f t="shared" si="3"/>
        <v>2.5</v>
      </c>
      <c r="H7" s="43">
        <f t="shared" si="3"/>
        <v>2.5</v>
      </c>
      <c r="I7" s="43">
        <f t="shared" si="3"/>
        <v>2.5</v>
      </c>
      <c r="J7" s="43">
        <f t="shared" si="3"/>
        <v>2.5</v>
      </c>
      <c r="K7" s="43">
        <f t="shared" si="3"/>
        <v>2.5</v>
      </c>
      <c r="L7" s="44">
        <f t="shared" si="1"/>
        <v>25</v>
      </c>
      <c r="N7" s="45" t="s">
        <v>1595</v>
      </c>
      <c r="O7" s="47">
        <v>46339</v>
      </c>
    </row>
    <row r="8" spans="1:15" x14ac:dyDescent="0.35">
      <c r="A8" s="42" t="s">
        <v>1596</v>
      </c>
      <c r="B8" s="43">
        <f t="shared" ref="B8:K8" si="4">$O$12</f>
        <v>1.5</v>
      </c>
      <c r="C8" s="43">
        <f t="shared" si="4"/>
        <v>1.5</v>
      </c>
      <c r="D8" s="43">
        <f t="shared" si="4"/>
        <v>1.5</v>
      </c>
      <c r="E8" s="43">
        <f t="shared" si="4"/>
        <v>1.5</v>
      </c>
      <c r="F8" s="43">
        <f t="shared" si="4"/>
        <v>1.5</v>
      </c>
      <c r="G8" s="43">
        <f t="shared" si="4"/>
        <v>1.5</v>
      </c>
      <c r="H8" s="43">
        <f t="shared" si="4"/>
        <v>1.5</v>
      </c>
      <c r="I8" s="43">
        <f t="shared" si="4"/>
        <v>1.5</v>
      </c>
      <c r="J8" s="43">
        <f t="shared" si="4"/>
        <v>1.5</v>
      </c>
      <c r="K8" s="43">
        <f t="shared" si="4"/>
        <v>1.5</v>
      </c>
      <c r="L8" s="44">
        <f t="shared" si="1"/>
        <v>15</v>
      </c>
      <c r="N8" s="45" t="s">
        <v>1597</v>
      </c>
      <c r="O8" s="48">
        <v>8</v>
      </c>
    </row>
    <row r="9" spans="1:15" x14ac:dyDescent="0.35">
      <c r="A9" s="42" t="s">
        <v>1598</v>
      </c>
      <c r="B9" s="43">
        <f t="shared" ref="B9:K9" si="5">$O$13</f>
        <v>1.5</v>
      </c>
      <c r="C9" s="43">
        <f t="shared" si="5"/>
        <v>1.5</v>
      </c>
      <c r="D9" s="43">
        <f t="shared" si="5"/>
        <v>1.5</v>
      </c>
      <c r="E9" s="43">
        <f t="shared" si="5"/>
        <v>1.5</v>
      </c>
      <c r="F9" s="43">
        <f t="shared" si="5"/>
        <v>1.5</v>
      </c>
      <c r="G9" s="43">
        <f t="shared" si="5"/>
        <v>1.5</v>
      </c>
      <c r="H9" s="43">
        <f t="shared" si="5"/>
        <v>1.5</v>
      </c>
      <c r="I9" s="43">
        <f t="shared" si="5"/>
        <v>1.5</v>
      </c>
      <c r="J9" s="43">
        <f t="shared" si="5"/>
        <v>1.5</v>
      </c>
      <c r="K9" s="43">
        <f t="shared" si="5"/>
        <v>1.5</v>
      </c>
      <c r="L9" s="44">
        <f t="shared" si="1"/>
        <v>15</v>
      </c>
      <c r="N9" s="45" t="s">
        <v>1599</v>
      </c>
      <c r="O9" s="48">
        <v>4</v>
      </c>
    </row>
    <row r="10" spans="1:15" x14ac:dyDescent="0.35">
      <c r="A10" s="42" t="s">
        <v>1600</v>
      </c>
      <c r="B10" s="43">
        <f t="shared" ref="B10:K10" si="6">$O$14</f>
        <v>1</v>
      </c>
      <c r="C10" s="43">
        <f t="shared" si="6"/>
        <v>1</v>
      </c>
      <c r="D10" s="43">
        <f t="shared" si="6"/>
        <v>1</v>
      </c>
      <c r="E10" s="43">
        <f t="shared" si="6"/>
        <v>1</v>
      </c>
      <c r="F10" s="43">
        <f t="shared" si="6"/>
        <v>1</v>
      </c>
      <c r="G10" s="43">
        <f t="shared" si="6"/>
        <v>1</v>
      </c>
      <c r="H10" s="43">
        <f t="shared" si="6"/>
        <v>1</v>
      </c>
      <c r="I10" s="43">
        <f t="shared" si="6"/>
        <v>1</v>
      </c>
      <c r="J10" s="43">
        <f t="shared" si="6"/>
        <v>1</v>
      </c>
      <c r="K10" s="43">
        <f t="shared" si="6"/>
        <v>1</v>
      </c>
      <c r="L10" s="44">
        <f t="shared" si="1"/>
        <v>10</v>
      </c>
      <c r="N10" s="45" t="s">
        <v>1601</v>
      </c>
      <c r="O10" s="48">
        <v>4</v>
      </c>
    </row>
    <row r="11" spans="1:15" x14ac:dyDescent="0.35">
      <c r="A11" s="49" t="s">
        <v>1602</v>
      </c>
      <c r="B11" s="43">
        <f t="shared" ref="B11:K11" si="7">SUM(B5:B10)</f>
        <v>14.5</v>
      </c>
      <c r="C11" s="43">
        <f t="shared" si="7"/>
        <v>14.5</v>
      </c>
      <c r="D11" s="43">
        <f t="shared" si="7"/>
        <v>14.5</v>
      </c>
      <c r="E11" s="43">
        <f t="shared" si="7"/>
        <v>14.5</v>
      </c>
      <c r="F11" s="43">
        <f t="shared" si="7"/>
        <v>14.5</v>
      </c>
      <c r="G11" s="43">
        <f t="shared" si="7"/>
        <v>14.5</v>
      </c>
      <c r="H11" s="43">
        <f t="shared" si="7"/>
        <v>14.5</v>
      </c>
      <c r="I11" s="43">
        <f t="shared" si="7"/>
        <v>14.5</v>
      </c>
      <c r="J11" s="43">
        <f t="shared" si="7"/>
        <v>14.5</v>
      </c>
      <c r="K11" s="43">
        <f t="shared" si="7"/>
        <v>14.5</v>
      </c>
      <c r="L11" s="44">
        <f t="shared" si="1"/>
        <v>145</v>
      </c>
      <c r="N11" s="45" t="s">
        <v>1603</v>
      </c>
      <c r="O11" s="50">
        <v>15</v>
      </c>
    </row>
    <row r="12" spans="1:15" x14ac:dyDescent="0.35">
      <c r="A12" s="42" t="s">
        <v>1604</v>
      </c>
      <c r="B12" s="43">
        <f t="shared" ref="B12:K12" si="8">$O$15</f>
        <v>2.5</v>
      </c>
      <c r="C12" s="43">
        <f t="shared" si="8"/>
        <v>2.5</v>
      </c>
      <c r="D12" s="43">
        <f t="shared" si="8"/>
        <v>2.5</v>
      </c>
      <c r="E12" s="43">
        <f t="shared" si="8"/>
        <v>2.5</v>
      </c>
      <c r="F12" s="43">
        <f t="shared" si="8"/>
        <v>2.5</v>
      </c>
      <c r="G12" s="43">
        <f t="shared" si="8"/>
        <v>2.5</v>
      </c>
      <c r="H12" s="43">
        <f t="shared" si="8"/>
        <v>2.5</v>
      </c>
      <c r="I12" s="43">
        <f t="shared" si="8"/>
        <v>2.5</v>
      </c>
      <c r="J12" s="43">
        <f t="shared" si="8"/>
        <v>2.5</v>
      </c>
      <c r="K12" s="43">
        <f t="shared" si="8"/>
        <v>2.5</v>
      </c>
      <c r="L12" s="44">
        <f t="shared" si="1"/>
        <v>25</v>
      </c>
      <c r="N12" s="45" t="s">
        <v>1605</v>
      </c>
      <c r="O12" s="48">
        <v>1.5</v>
      </c>
    </row>
    <row r="13" spans="1:15" x14ac:dyDescent="0.35">
      <c r="A13" s="49" t="s">
        <v>1606</v>
      </c>
      <c r="B13" s="43">
        <f t="shared" ref="B13:K13" si="9">B12</f>
        <v>2.5</v>
      </c>
      <c r="C13" s="43">
        <f t="shared" si="9"/>
        <v>2.5</v>
      </c>
      <c r="D13" s="43">
        <f t="shared" si="9"/>
        <v>2.5</v>
      </c>
      <c r="E13" s="43">
        <f t="shared" si="9"/>
        <v>2.5</v>
      </c>
      <c r="F13" s="43">
        <f t="shared" si="9"/>
        <v>2.5</v>
      </c>
      <c r="G13" s="43">
        <f t="shared" si="9"/>
        <v>2.5</v>
      </c>
      <c r="H13" s="43">
        <f t="shared" si="9"/>
        <v>2.5</v>
      </c>
      <c r="I13" s="43">
        <f t="shared" si="9"/>
        <v>2.5</v>
      </c>
      <c r="J13" s="43">
        <f t="shared" si="9"/>
        <v>2.5</v>
      </c>
      <c r="K13" s="43">
        <f t="shared" si="9"/>
        <v>2.5</v>
      </c>
      <c r="L13" s="44">
        <f t="shared" si="1"/>
        <v>25</v>
      </c>
      <c r="N13" s="45" t="s">
        <v>1607</v>
      </c>
      <c r="O13" s="48">
        <v>1.5</v>
      </c>
    </row>
    <row r="14" spans="1:15" x14ac:dyDescent="0.35">
      <c r="A14" s="51" t="s">
        <v>1608</v>
      </c>
      <c r="B14" s="43">
        <f t="shared" ref="B14:K14" si="10">B11+B13</f>
        <v>17</v>
      </c>
      <c r="C14" s="43">
        <f t="shared" si="10"/>
        <v>17</v>
      </c>
      <c r="D14" s="43">
        <f t="shared" si="10"/>
        <v>17</v>
      </c>
      <c r="E14" s="43">
        <f t="shared" si="10"/>
        <v>17</v>
      </c>
      <c r="F14" s="43">
        <f t="shared" si="10"/>
        <v>17</v>
      </c>
      <c r="G14" s="43">
        <f t="shared" si="10"/>
        <v>17</v>
      </c>
      <c r="H14" s="43">
        <f t="shared" si="10"/>
        <v>17</v>
      </c>
      <c r="I14" s="43">
        <f t="shared" si="10"/>
        <v>17</v>
      </c>
      <c r="J14" s="43">
        <f t="shared" si="10"/>
        <v>17</v>
      </c>
      <c r="K14" s="43">
        <f t="shared" si="10"/>
        <v>17</v>
      </c>
      <c r="L14" s="44">
        <f t="shared" si="1"/>
        <v>170</v>
      </c>
      <c r="N14" s="45" t="s">
        <v>1609</v>
      </c>
      <c r="O14" s="48">
        <v>1</v>
      </c>
    </row>
    <row r="15" spans="1:15" x14ac:dyDescent="0.35">
      <c r="A15" s="45" t="s">
        <v>1610</v>
      </c>
      <c r="B15" s="52">
        <v>0.5</v>
      </c>
      <c r="C15" s="52">
        <v>0.5</v>
      </c>
      <c r="D15" s="52">
        <v>1</v>
      </c>
      <c r="E15" s="52">
        <v>1</v>
      </c>
      <c r="F15" s="52">
        <v>1</v>
      </c>
      <c r="G15" s="52">
        <v>1</v>
      </c>
      <c r="H15" s="52">
        <v>0.5</v>
      </c>
      <c r="I15" s="52">
        <v>1</v>
      </c>
      <c r="J15" s="52">
        <v>0.5</v>
      </c>
      <c r="K15" s="52">
        <v>0.5</v>
      </c>
      <c r="L15" s="53" t="s">
        <v>1611</v>
      </c>
      <c r="N15" s="45" t="s">
        <v>1612</v>
      </c>
      <c r="O15" s="48">
        <v>2.5</v>
      </c>
    </row>
    <row r="16" spans="1:15" x14ac:dyDescent="0.35">
      <c r="A16" s="42" t="s">
        <v>1613</v>
      </c>
      <c r="B16" s="43">
        <f t="shared" ref="B16:K16" si="11">$O$20*B15</f>
        <v>40</v>
      </c>
      <c r="C16" s="43">
        <f t="shared" si="11"/>
        <v>40</v>
      </c>
      <c r="D16" s="43">
        <f t="shared" si="11"/>
        <v>80</v>
      </c>
      <c r="E16" s="43">
        <f t="shared" si="11"/>
        <v>80</v>
      </c>
      <c r="F16" s="43">
        <f t="shared" si="11"/>
        <v>80</v>
      </c>
      <c r="G16" s="43">
        <f t="shared" si="11"/>
        <v>80</v>
      </c>
      <c r="H16" s="43">
        <f t="shared" si="11"/>
        <v>40</v>
      </c>
      <c r="I16" s="43">
        <f t="shared" si="11"/>
        <v>80</v>
      </c>
      <c r="J16" s="43">
        <f t="shared" si="11"/>
        <v>40</v>
      </c>
      <c r="K16" s="43">
        <f t="shared" si="11"/>
        <v>40</v>
      </c>
      <c r="L16" s="44">
        <f>SUM(B16:K16)</f>
        <v>600</v>
      </c>
      <c r="N16" s="45" t="s">
        <v>1614</v>
      </c>
      <c r="O16" s="50">
        <v>0</v>
      </c>
    </row>
    <row r="17" spans="1:15" x14ac:dyDescent="0.35">
      <c r="A17" s="42" t="s">
        <v>1615</v>
      </c>
      <c r="B17" s="48">
        <v>0</v>
      </c>
      <c r="C17" s="48">
        <v>0</v>
      </c>
      <c r="D17" s="48">
        <v>0</v>
      </c>
      <c r="E17" s="48">
        <v>0</v>
      </c>
      <c r="F17" s="48">
        <v>0</v>
      </c>
      <c r="G17" s="48">
        <v>0</v>
      </c>
      <c r="H17" s="48">
        <v>0</v>
      </c>
      <c r="I17" s="48">
        <v>0</v>
      </c>
      <c r="J17" s="48">
        <v>0</v>
      </c>
      <c r="K17" s="48">
        <v>0</v>
      </c>
      <c r="L17" s="44">
        <f>SUM(B17:K17)</f>
        <v>0</v>
      </c>
      <c r="N17" s="45" t="s">
        <v>1616</v>
      </c>
      <c r="O17" s="48">
        <v>8</v>
      </c>
    </row>
    <row r="18" spans="1:15" x14ac:dyDescent="0.35">
      <c r="A18" s="42" t="s">
        <v>1617</v>
      </c>
      <c r="B18" s="48">
        <v>0</v>
      </c>
      <c r="C18" s="48">
        <v>0</v>
      </c>
      <c r="D18" s="48">
        <v>0</v>
      </c>
      <c r="E18" s="48">
        <v>0</v>
      </c>
      <c r="F18" s="48">
        <v>0</v>
      </c>
      <c r="G18" s="48">
        <v>0</v>
      </c>
      <c r="H18" s="48">
        <v>0</v>
      </c>
      <c r="I18" s="48">
        <v>0</v>
      </c>
      <c r="J18" s="48">
        <v>0</v>
      </c>
      <c r="K18" s="48">
        <v>0</v>
      </c>
      <c r="L18" s="44">
        <f>SUM(B18:K18)</f>
        <v>0</v>
      </c>
      <c r="N18" s="45" t="s">
        <v>1618</v>
      </c>
      <c r="O18" s="54">
        <v>0.1</v>
      </c>
    </row>
    <row r="19" spans="1:15" x14ac:dyDescent="0.35">
      <c r="A19" s="49" t="s">
        <v>1619</v>
      </c>
      <c r="B19" s="43">
        <f t="shared" ref="B19:K19" si="12">B16-B14-B17-B18</f>
        <v>23</v>
      </c>
      <c r="C19" s="43">
        <f t="shared" si="12"/>
        <v>23</v>
      </c>
      <c r="D19" s="43">
        <f t="shared" si="12"/>
        <v>63</v>
      </c>
      <c r="E19" s="43">
        <f t="shared" si="12"/>
        <v>63</v>
      </c>
      <c r="F19" s="43">
        <f t="shared" si="12"/>
        <v>63</v>
      </c>
      <c r="G19" s="43">
        <f t="shared" si="12"/>
        <v>63</v>
      </c>
      <c r="H19" s="43">
        <f t="shared" si="12"/>
        <v>23</v>
      </c>
      <c r="I19" s="43">
        <f t="shared" si="12"/>
        <v>63</v>
      </c>
      <c r="J19" s="43">
        <f t="shared" si="12"/>
        <v>23</v>
      </c>
      <c r="K19" s="43">
        <f t="shared" si="12"/>
        <v>23</v>
      </c>
      <c r="L19" s="44">
        <f>SUM(B19:K19)</f>
        <v>430</v>
      </c>
      <c r="N19" s="45" t="s">
        <v>1620</v>
      </c>
      <c r="O19" s="55">
        <f>NETWORKDAYS(O6,O7)-O16</f>
        <v>10</v>
      </c>
    </row>
    <row r="20" spans="1:15" x14ac:dyDescent="0.35">
      <c r="A20" s="42" t="s">
        <v>1621</v>
      </c>
      <c r="B20" s="48">
        <v>1</v>
      </c>
      <c r="C20" s="48">
        <v>1</v>
      </c>
      <c r="D20" s="48">
        <v>1</v>
      </c>
      <c r="E20" s="48">
        <v>1</v>
      </c>
      <c r="F20" s="48">
        <v>1</v>
      </c>
      <c r="G20" s="48">
        <v>1</v>
      </c>
      <c r="H20" s="48">
        <v>1</v>
      </c>
      <c r="I20" s="48">
        <v>1</v>
      </c>
      <c r="J20" s="48">
        <v>1</v>
      </c>
      <c r="K20" s="48">
        <v>1</v>
      </c>
      <c r="L20" s="53" t="s">
        <v>1622</v>
      </c>
      <c r="N20" s="45" t="s">
        <v>1623</v>
      </c>
      <c r="O20" s="43">
        <f>O19*O8</f>
        <v>80</v>
      </c>
    </row>
    <row r="21" spans="1:15" x14ac:dyDescent="0.35">
      <c r="A21" s="49" t="s">
        <v>1624</v>
      </c>
      <c r="B21" s="43">
        <f t="shared" ref="B21:K21" si="13">MAX(0,B19*B20)</f>
        <v>23</v>
      </c>
      <c r="C21" s="43">
        <f t="shared" si="13"/>
        <v>23</v>
      </c>
      <c r="D21" s="43">
        <f t="shared" si="13"/>
        <v>63</v>
      </c>
      <c r="E21" s="43">
        <f t="shared" si="13"/>
        <v>63</v>
      </c>
      <c r="F21" s="43">
        <f t="shared" si="13"/>
        <v>63</v>
      </c>
      <c r="G21" s="43">
        <f t="shared" si="13"/>
        <v>63</v>
      </c>
      <c r="H21" s="43">
        <f t="shared" si="13"/>
        <v>23</v>
      </c>
      <c r="I21" s="43">
        <f t="shared" si="13"/>
        <v>63</v>
      </c>
      <c r="J21" s="43">
        <f t="shared" si="13"/>
        <v>23</v>
      </c>
      <c r="K21" s="43">
        <f t="shared" si="13"/>
        <v>23</v>
      </c>
      <c r="L21" s="44">
        <f>SUM(B21:K21)</f>
        <v>430</v>
      </c>
    </row>
    <row r="22" spans="1:15" x14ac:dyDescent="0.35">
      <c r="A22" s="51" t="s">
        <v>1625</v>
      </c>
      <c r="B22" s="43">
        <f t="shared" ref="B22:K22" si="14">B21/$O$17</f>
        <v>2.875</v>
      </c>
      <c r="C22" s="43">
        <f t="shared" si="14"/>
        <v>2.875</v>
      </c>
      <c r="D22" s="43">
        <f t="shared" si="14"/>
        <v>7.875</v>
      </c>
      <c r="E22" s="43">
        <f t="shared" si="14"/>
        <v>7.875</v>
      </c>
      <c r="F22" s="43">
        <f t="shared" si="14"/>
        <v>7.875</v>
      </c>
      <c r="G22" s="43">
        <f t="shared" si="14"/>
        <v>7.875</v>
      </c>
      <c r="H22" s="43">
        <f t="shared" si="14"/>
        <v>2.875</v>
      </c>
      <c r="I22" s="43">
        <f t="shared" si="14"/>
        <v>7.875</v>
      </c>
      <c r="J22" s="43">
        <f t="shared" si="14"/>
        <v>2.875</v>
      </c>
      <c r="K22" s="43">
        <f t="shared" si="14"/>
        <v>2.875</v>
      </c>
      <c r="L22" s="44">
        <f>SUM(B22:K22)</f>
        <v>53.75</v>
      </c>
    </row>
    <row r="24" spans="1:15" x14ac:dyDescent="0.35">
      <c r="A24" s="45" t="s">
        <v>1626</v>
      </c>
      <c r="B24" s="56">
        <f>L22</f>
        <v>53.75</v>
      </c>
      <c r="C24" s="57"/>
      <c r="D24" s="57"/>
      <c r="E24" s="57"/>
      <c r="F24" s="57"/>
      <c r="G24" s="57"/>
      <c r="H24" s="57"/>
      <c r="I24" s="57"/>
      <c r="J24" s="57"/>
      <c r="K24" s="57"/>
      <c r="L24" s="57"/>
    </row>
    <row r="25" spans="1:15" x14ac:dyDescent="0.35">
      <c r="A25" s="45" t="s">
        <v>1627</v>
      </c>
      <c r="B25" s="44">
        <f>B24*(1-$O$18)</f>
        <v>48.375</v>
      </c>
      <c r="C25" s="57"/>
      <c r="D25" s="57"/>
      <c r="E25" s="57"/>
      <c r="F25" s="57"/>
      <c r="G25" s="57"/>
      <c r="H25" s="57"/>
      <c r="I25" s="57"/>
      <c r="J25" s="57"/>
      <c r="K25" s="57"/>
      <c r="L25" s="57"/>
    </row>
    <row r="26" spans="1:15" x14ac:dyDescent="0.35">
      <c r="A26" s="45" t="s">
        <v>1628</v>
      </c>
      <c r="B26" s="58">
        <v>0</v>
      </c>
      <c r="C26" s="57"/>
      <c r="D26" s="57"/>
      <c r="E26" s="57"/>
      <c r="F26" s="57"/>
      <c r="G26" s="57"/>
      <c r="H26" s="57"/>
      <c r="I26" s="57"/>
      <c r="J26" s="57"/>
      <c r="K26" s="57"/>
      <c r="L26" s="57"/>
    </row>
    <row r="27" spans="1:15" x14ac:dyDescent="0.35">
      <c r="A27" s="45" t="s">
        <v>1629</v>
      </c>
      <c r="B27" s="59">
        <f>B25-B26</f>
        <v>48.375</v>
      </c>
      <c r="C27" s="57"/>
      <c r="D27" s="57"/>
      <c r="E27" s="57"/>
      <c r="F27" s="57"/>
      <c r="G27" s="57"/>
      <c r="H27" s="57"/>
      <c r="I27" s="57"/>
      <c r="J27" s="57"/>
      <c r="K27" s="57"/>
      <c r="L27" s="57"/>
    </row>
    <row r="28" spans="1:15" x14ac:dyDescent="0.35">
      <c r="A28" s="45" t="s">
        <v>1630</v>
      </c>
      <c r="B28" s="58">
        <v>0</v>
      </c>
      <c r="C28" s="57"/>
      <c r="D28" s="57"/>
      <c r="E28" s="57"/>
      <c r="F28" s="57"/>
      <c r="G28" s="57"/>
      <c r="H28" s="57"/>
      <c r="I28" s="57"/>
      <c r="J28" s="57"/>
      <c r="K28" s="57"/>
      <c r="L28" s="57"/>
    </row>
    <row r="30" spans="1:15" ht="22" customHeight="1" x14ac:dyDescent="0.35">
      <c r="A30" s="141" t="s">
        <v>1631</v>
      </c>
      <c r="B30" s="120"/>
      <c r="C30" s="120"/>
      <c r="D30" s="120"/>
      <c r="E30" s="120"/>
      <c r="F30" s="120"/>
      <c r="G30" s="120"/>
      <c r="H30" s="120"/>
      <c r="I30" s="120"/>
      <c r="J30" s="120"/>
      <c r="K30" s="120"/>
      <c r="L30" s="120"/>
      <c r="M30" s="120"/>
      <c r="N30" s="120"/>
      <c r="O30" s="120"/>
    </row>
    <row r="31" spans="1:15" x14ac:dyDescent="0.35">
      <c r="A31" s="139" t="s">
        <v>1632</v>
      </c>
      <c r="B31" s="120"/>
      <c r="C31" s="120"/>
      <c r="D31" s="120"/>
      <c r="E31" s="120"/>
      <c r="F31" s="120"/>
      <c r="G31" s="120"/>
      <c r="H31" s="120"/>
      <c r="I31" s="120"/>
      <c r="J31" s="120"/>
      <c r="K31" s="120"/>
      <c r="L31" s="120"/>
      <c r="M31" s="120"/>
      <c r="N31" s="120"/>
      <c r="O31" s="120"/>
    </row>
    <row r="32" spans="1:15" x14ac:dyDescent="0.35">
      <c r="A32" s="139" t="s">
        <v>1633</v>
      </c>
      <c r="B32" s="120"/>
      <c r="C32" s="120"/>
      <c r="D32" s="120"/>
      <c r="E32" s="120"/>
      <c r="F32" s="120"/>
      <c r="G32" s="120"/>
      <c r="H32" s="120"/>
      <c r="I32" s="120"/>
      <c r="J32" s="120"/>
      <c r="K32" s="120"/>
      <c r="L32" s="120"/>
      <c r="M32" s="120"/>
      <c r="N32" s="120"/>
      <c r="O32" s="120"/>
    </row>
    <row r="33" spans="1:15" x14ac:dyDescent="0.35">
      <c r="A33" s="139" t="s">
        <v>1634</v>
      </c>
      <c r="B33" s="120"/>
      <c r="C33" s="120"/>
      <c r="D33" s="120"/>
      <c r="E33" s="120"/>
      <c r="F33" s="120"/>
      <c r="G33" s="120"/>
      <c r="H33" s="120"/>
      <c r="I33" s="120"/>
      <c r="J33" s="120"/>
      <c r="K33" s="120"/>
      <c r="L33" s="120"/>
      <c r="M33" s="120"/>
      <c r="N33" s="120"/>
      <c r="O33" s="120"/>
    </row>
    <row r="34" spans="1:15" x14ac:dyDescent="0.35">
      <c r="A34" s="139" t="s">
        <v>1635</v>
      </c>
      <c r="B34" s="120"/>
      <c r="C34" s="120"/>
      <c r="D34" s="120"/>
      <c r="E34" s="120"/>
      <c r="F34" s="120"/>
      <c r="G34" s="120"/>
      <c r="H34" s="120"/>
      <c r="I34" s="120"/>
      <c r="J34" s="120"/>
      <c r="K34" s="120"/>
      <c r="L34" s="120"/>
      <c r="M34" s="120"/>
      <c r="N34" s="120"/>
      <c r="O34" s="120"/>
    </row>
  </sheetData>
  <mergeCells count="7">
    <mergeCell ref="A34:O34"/>
    <mergeCell ref="A30:O30"/>
    <mergeCell ref="A2:O2"/>
    <mergeCell ref="A33:O33"/>
    <mergeCell ref="A1:O1"/>
    <mergeCell ref="A32:O32"/>
    <mergeCell ref="A31:O3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43"/>
  <sheetViews>
    <sheetView showGridLines="0" workbookViewId="0">
      <pane xSplit="1" ySplit="5" topLeftCell="B6" activePane="bottomRight" state="frozen"/>
      <selection pane="topRight"/>
      <selection pane="bottomLeft"/>
      <selection pane="bottomRight" sqref="A1:M1"/>
    </sheetView>
  </sheetViews>
  <sheetFormatPr defaultRowHeight="14.5" x14ac:dyDescent="0.35"/>
  <cols>
    <col min="1" max="1" width="11" customWidth="1"/>
    <col min="2" max="3" width="12" customWidth="1"/>
    <col min="4" max="4" width="9" customWidth="1"/>
    <col min="5" max="5" width="10" customWidth="1"/>
    <col min="6" max="6" width="13" customWidth="1"/>
    <col min="7" max="8" width="11" customWidth="1"/>
    <col min="9" max="9" width="12" customWidth="1"/>
    <col min="10" max="10" width="14" customWidth="1"/>
    <col min="11" max="11" width="15" customWidth="1"/>
    <col min="12" max="12" width="14" customWidth="1"/>
    <col min="13" max="13" width="8" customWidth="1"/>
  </cols>
  <sheetData>
    <row r="1" spans="1:13" ht="30" customHeight="1" x14ac:dyDescent="0.35">
      <c r="A1" s="140" t="s">
        <v>1636</v>
      </c>
      <c r="B1" s="120"/>
      <c r="C1" s="120"/>
      <c r="D1" s="120"/>
      <c r="E1" s="120"/>
      <c r="F1" s="120"/>
      <c r="G1" s="120"/>
      <c r="H1" s="120"/>
      <c r="I1" s="120"/>
      <c r="J1" s="120"/>
      <c r="K1" s="120"/>
      <c r="L1" s="120"/>
      <c r="M1" s="120"/>
    </row>
    <row r="2" spans="1:13" ht="18" customHeight="1" x14ac:dyDescent="0.35">
      <c r="A2" s="138" t="s">
        <v>1637</v>
      </c>
      <c r="B2" s="120"/>
      <c r="C2" s="120"/>
      <c r="D2" s="120"/>
      <c r="E2" s="120"/>
      <c r="F2" s="120"/>
      <c r="G2" s="120"/>
      <c r="H2" s="120"/>
      <c r="I2" s="120"/>
      <c r="J2" s="120"/>
      <c r="K2" s="120"/>
      <c r="L2" s="120"/>
      <c r="M2" s="120"/>
    </row>
    <row r="3" spans="1:13" ht="18" customHeight="1" x14ac:dyDescent="0.35">
      <c r="A3" s="138" t="s">
        <v>1638</v>
      </c>
      <c r="B3" s="120"/>
      <c r="C3" s="120"/>
      <c r="D3" s="120"/>
      <c r="E3" s="120"/>
      <c r="F3" s="120"/>
      <c r="G3" s="120"/>
      <c r="H3" s="120"/>
      <c r="I3" s="120"/>
      <c r="J3" s="120"/>
      <c r="K3" s="120"/>
      <c r="L3" s="120"/>
      <c r="M3" s="120"/>
    </row>
    <row r="5" spans="1:13" ht="30" customHeight="1" x14ac:dyDescent="0.35">
      <c r="A5" s="60" t="s">
        <v>264</v>
      </c>
      <c r="B5" s="60" t="s">
        <v>1639</v>
      </c>
      <c r="C5" s="60" t="s">
        <v>1640</v>
      </c>
      <c r="D5" s="60" t="s">
        <v>1641</v>
      </c>
      <c r="E5" s="60" t="s">
        <v>1642</v>
      </c>
      <c r="F5" s="60" t="s">
        <v>1643</v>
      </c>
      <c r="G5" s="60" t="s">
        <v>1644</v>
      </c>
      <c r="H5" s="60" t="s">
        <v>1645</v>
      </c>
      <c r="I5" s="60" t="s">
        <v>1646</v>
      </c>
      <c r="J5" s="60" t="s">
        <v>1647</v>
      </c>
      <c r="K5" s="60" t="s">
        <v>1648</v>
      </c>
      <c r="L5" s="60" t="s">
        <v>1649</v>
      </c>
      <c r="M5" s="60" t="s">
        <v>1650</v>
      </c>
    </row>
    <row r="6" spans="1:13" x14ac:dyDescent="0.35">
      <c r="A6" s="45" t="s">
        <v>1651</v>
      </c>
      <c r="B6" s="47">
        <v>46111</v>
      </c>
      <c r="C6" s="47">
        <v>46122</v>
      </c>
      <c r="D6" s="61">
        <v>0</v>
      </c>
      <c r="E6" s="62">
        <f t="shared" ref="E6:E17" si="0">NETWORKDAYS(B6,C6)-D6</f>
        <v>10</v>
      </c>
      <c r="F6" s="61">
        <v>34</v>
      </c>
      <c r="G6" s="61">
        <v>32</v>
      </c>
      <c r="H6" s="61">
        <v>27</v>
      </c>
      <c r="I6" s="63">
        <f t="shared" ref="I6:I17" si="1">IF(G6=0,0,H6/G6)</f>
        <v>0.84375</v>
      </c>
      <c r="J6" s="63">
        <f t="shared" ref="J6:J17" si="2">IF(F6=0,0,H6/F6)</f>
        <v>0.79411764705882348</v>
      </c>
      <c r="K6" s="64">
        <f>AVERAGE(H6:H6)</f>
        <v>27</v>
      </c>
      <c r="L6" s="62" t="s">
        <v>1652</v>
      </c>
      <c r="M6" s="62">
        <v>1</v>
      </c>
    </row>
    <row r="7" spans="1:13" x14ac:dyDescent="0.35">
      <c r="A7" s="45" t="s">
        <v>1653</v>
      </c>
      <c r="B7" s="47">
        <v>46125</v>
      </c>
      <c r="C7" s="47">
        <v>46136</v>
      </c>
      <c r="D7" s="61">
        <v>0</v>
      </c>
      <c r="E7" s="62">
        <f t="shared" si="0"/>
        <v>10</v>
      </c>
      <c r="F7" s="61">
        <v>36</v>
      </c>
      <c r="G7" s="61">
        <v>34</v>
      </c>
      <c r="H7" s="61">
        <v>30</v>
      </c>
      <c r="I7" s="63">
        <f t="shared" si="1"/>
        <v>0.88235294117647056</v>
      </c>
      <c r="J7" s="63">
        <f t="shared" si="2"/>
        <v>0.83333333333333337</v>
      </c>
      <c r="K7" s="64">
        <f>AVERAGE(H6:H7)</f>
        <v>28.5</v>
      </c>
      <c r="L7" s="62" t="str">
        <f t="shared" ref="L7:L17" si="3">IF(K7&gt;K6,"▲ Improving",IF(K7&lt;K6,"▼ Declining","▬ Stable"))</f>
        <v>▲ Improving</v>
      </c>
      <c r="M7" s="62">
        <v>2</v>
      </c>
    </row>
    <row r="8" spans="1:13" x14ac:dyDescent="0.35">
      <c r="A8" s="45" t="s">
        <v>1654</v>
      </c>
      <c r="B8" s="47">
        <v>46139</v>
      </c>
      <c r="C8" s="47">
        <v>46150</v>
      </c>
      <c r="D8" s="61">
        <v>0</v>
      </c>
      <c r="E8" s="62">
        <f t="shared" si="0"/>
        <v>10</v>
      </c>
      <c r="F8" s="61">
        <v>33</v>
      </c>
      <c r="G8" s="61">
        <v>30</v>
      </c>
      <c r="H8" s="61">
        <v>25</v>
      </c>
      <c r="I8" s="63">
        <f t="shared" si="1"/>
        <v>0.83333333333333337</v>
      </c>
      <c r="J8" s="63">
        <f t="shared" si="2"/>
        <v>0.75757575757575757</v>
      </c>
      <c r="K8" s="64">
        <f t="shared" ref="K8:K17" si="4">AVERAGE(H6:H8)</f>
        <v>27.333333333333332</v>
      </c>
      <c r="L8" s="62" t="str">
        <f t="shared" si="3"/>
        <v>▼ Declining</v>
      </c>
      <c r="M8" s="62">
        <v>3</v>
      </c>
    </row>
    <row r="9" spans="1:13" x14ac:dyDescent="0.35">
      <c r="A9" s="45" t="s">
        <v>1655</v>
      </c>
      <c r="B9" s="47">
        <v>46153</v>
      </c>
      <c r="C9" s="47">
        <v>46164</v>
      </c>
      <c r="D9" s="61">
        <v>1</v>
      </c>
      <c r="E9" s="62">
        <f t="shared" si="0"/>
        <v>9</v>
      </c>
      <c r="F9" s="61">
        <v>38</v>
      </c>
      <c r="G9" s="61">
        <v>36</v>
      </c>
      <c r="H9" s="61">
        <v>33</v>
      </c>
      <c r="I9" s="63">
        <f t="shared" si="1"/>
        <v>0.91666666666666663</v>
      </c>
      <c r="J9" s="63">
        <f t="shared" si="2"/>
        <v>0.86842105263157898</v>
      </c>
      <c r="K9" s="64">
        <f t="shared" si="4"/>
        <v>29.333333333333332</v>
      </c>
      <c r="L9" s="62" t="str">
        <f t="shared" si="3"/>
        <v>▲ Improving</v>
      </c>
      <c r="M9" s="62">
        <v>4</v>
      </c>
    </row>
    <row r="10" spans="1:13" x14ac:dyDescent="0.35">
      <c r="A10" s="45" t="s">
        <v>1656</v>
      </c>
      <c r="B10" s="47">
        <v>46167</v>
      </c>
      <c r="C10" s="47">
        <v>46178</v>
      </c>
      <c r="D10" s="61">
        <v>0</v>
      </c>
      <c r="E10" s="62">
        <f t="shared" si="0"/>
        <v>10</v>
      </c>
      <c r="F10" s="61">
        <v>35</v>
      </c>
      <c r="G10" s="61">
        <v>33</v>
      </c>
      <c r="H10" s="61">
        <v>29</v>
      </c>
      <c r="I10" s="63">
        <f t="shared" si="1"/>
        <v>0.87878787878787878</v>
      </c>
      <c r="J10" s="63">
        <f t="shared" si="2"/>
        <v>0.82857142857142863</v>
      </c>
      <c r="K10" s="64">
        <f t="shared" si="4"/>
        <v>29</v>
      </c>
      <c r="L10" s="62" t="str">
        <f t="shared" si="3"/>
        <v>▼ Declining</v>
      </c>
      <c r="M10" s="62">
        <v>5</v>
      </c>
    </row>
    <row r="11" spans="1:13" x14ac:dyDescent="0.35">
      <c r="A11" s="45" t="s">
        <v>1657</v>
      </c>
      <c r="B11" s="47">
        <v>46181</v>
      </c>
      <c r="C11" s="47">
        <v>46192</v>
      </c>
      <c r="D11" s="61">
        <v>0</v>
      </c>
      <c r="E11" s="62">
        <f t="shared" si="0"/>
        <v>10</v>
      </c>
      <c r="F11" s="61">
        <v>40</v>
      </c>
      <c r="G11" s="61">
        <v>38</v>
      </c>
      <c r="H11" s="61">
        <v>35</v>
      </c>
      <c r="I11" s="63">
        <f t="shared" si="1"/>
        <v>0.92105263157894735</v>
      </c>
      <c r="J11" s="63">
        <f t="shared" si="2"/>
        <v>0.875</v>
      </c>
      <c r="K11" s="64">
        <f t="shared" si="4"/>
        <v>32.333333333333336</v>
      </c>
      <c r="L11" s="62" t="str">
        <f t="shared" si="3"/>
        <v>▲ Improving</v>
      </c>
      <c r="M11" s="62">
        <v>6</v>
      </c>
    </row>
    <row r="12" spans="1:13" x14ac:dyDescent="0.35">
      <c r="A12" s="45" t="s">
        <v>1658</v>
      </c>
      <c r="B12" s="47">
        <v>46195</v>
      </c>
      <c r="C12" s="47">
        <v>46206</v>
      </c>
      <c r="D12" s="61">
        <v>0</v>
      </c>
      <c r="E12" s="62">
        <f t="shared" si="0"/>
        <v>10</v>
      </c>
      <c r="F12" s="61">
        <v>37</v>
      </c>
      <c r="G12" s="61">
        <v>35</v>
      </c>
      <c r="H12" s="61">
        <v>33</v>
      </c>
      <c r="I12" s="63">
        <f t="shared" si="1"/>
        <v>0.94285714285714284</v>
      </c>
      <c r="J12" s="63">
        <f t="shared" si="2"/>
        <v>0.89189189189189189</v>
      </c>
      <c r="K12" s="64">
        <f t="shared" si="4"/>
        <v>32.333333333333336</v>
      </c>
      <c r="L12" s="62" t="str">
        <f t="shared" si="3"/>
        <v>▬ Stable</v>
      </c>
      <c r="M12" s="62">
        <v>7</v>
      </c>
    </row>
    <row r="13" spans="1:13" x14ac:dyDescent="0.35">
      <c r="A13" s="45" t="s">
        <v>1659</v>
      </c>
      <c r="B13" s="47">
        <v>46209</v>
      </c>
      <c r="C13" s="47">
        <v>46220</v>
      </c>
      <c r="D13" s="61">
        <v>0</v>
      </c>
      <c r="E13" s="62">
        <f t="shared" si="0"/>
        <v>10</v>
      </c>
      <c r="F13" s="61">
        <v>42</v>
      </c>
      <c r="G13" s="61">
        <v>40</v>
      </c>
      <c r="H13" s="61">
        <v>37</v>
      </c>
      <c r="I13" s="63">
        <f t="shared" si="1"/>
        <v>0.92500000000000004</v>
      </c>
      <c r="J13" s="63">
        <f t="shared" si="2"/>
        <v>0.88095238095238093</v>
      </c>
      <c r="K13" s="64">
        <f t="shared" si="4"/>
        <v>35</v>
      </c>
      <c r="L13" s="62" t="str">
        <f t="shared" si="3"/>
        <v>▲ Improving</v>
      </c>
      <c r="M13" s="62">
        <v>8</v>
      </c>
    </row>
    <row r="14" spans="1:13" x14ac:dyDescent="0.35">
      <c r="A14" s="45" t="s">
        <v>1660</v>
      </c>
      <c r="B14" s="47">
        <v>46223</v>
      </c>
      <c r="C14" s="47">
        <v>46234</v>
      </c>
      <c r="D14" s="61">
        <v>1</v>
      </c>
      <c r="E14" s="62">
        <f t="shared" si="0"/>
        <v>9</v>
      </c>
      <c r="F14" s="61">
        <v>39</v>
      </c>
      <c r="G14" s="61">
        <v>37</v>
      </c>
      <c r="H14" s="61">
        <v>35</v>
      </c>
      <c r="I14" s="63">
        <f t="shared" si="1"/>
        <v>0.94594594594594594</v>
      </c>
      <c r="J14" s="63">
        <f t="shared" si="2"/>
        <v>0.89743589743589747</v>
      </c>
      <c r="K14" s="64">
        <f t="shared" si="4"/>
        <v>35</v>
      </c>
      <c r="L14" s="62" t="str">
        <f t="shared" si="3"/>
        <v>▬ Stable</v>
      </c>
      <c r="M14" s="62">
        <v>9</v>
      </c>
    </row>
    <row r="15" spans="1:13" x14ac:dyDescent="0.35">
      <c r="A15" s="45" t="s">
        <v>1661</v>
      </c>
      <c r="B15" s="47">
        <v>46237</v>
      </c>
      <c r="C15" s="47">
        <v>46248</v>
      </c>
      <c r="D15" s="61">
        <v>0</v>
      </c>
      <c r="E15" s="62">
        <f t="shared" si="0"/>
        <v>10</v>
      </c>
      <c r="F15" s="61">
        <v>44</v>
      </c>
      <c r="G15" s="61">
        <v>42</v>
      </c>
      <c r="H15" s="61">
        <v>39</v>
      </c>
      <c r="I15" s="63">
        <f t="shared" si="1"/>
        <v>0.9285714285714286</v>
      </c>
      <c r="J15" s="63">
        <f t="shared" si="2"/>
        <v>0.88636363636363635</v>
      </c>
      <c r="K15" s="64">
        <f t="shared" si="4"/>
        <v>37</v>
      </c>
      <c r="L15" s="62" t="str">
        <f t="shared" si="3"/>
        <v>▲ Improving</v>
      </c>
      <c r="M15" s="62">
        <v>10</v>
      </c>
    </row>
    <row r="16" spans="1:13" x14ac:dyDescent="0.35">
      <c r="A16" s="45" t="s">
        <v>1662</v>
      </c>
      <c r="B16" s="47">
        <v>46251</v>
      </c>
      <c r="C16" s="47">
        <v>46262</v>
      </c>
      <c r="D16" s="61">
        <v>0</v>
      </c>
      <c r="E16" s="62">
        <f t="shared" si="0"/>
        <v>10</v>
      </c>
      <c r="F16" s="61">
        <v>41</v>
      </c>
      <c r="G16" s="61">
        <v>39</v>
      </c>
      <c r="H16" s="61">
        <v>37</v>
      </c>
      <c r="I16" s="63">
        <f t="shared" si="1"/>
        <v>0.94871794871794868</v>
      </c>
      <c r="J16" s="63">
        <f t="shared" si="2"/>
        <v>0.90243902439024393</v>
      </c>
      <c r="K16" s="64">
        <f t="shared" si="4"/>
        <v>37</v>
      </c>
      <c r="L16" s="62" t="str">
        <f t="shared" si="3"/>
        <v>▬ Stable</v>
      </c>
      <c r="M16" s="62">
        <v>11</v>
      </c>
    </row>
    <row r="17" spans="1:13" x14ac:dyDescent="0.35">
      <c r="A17" s="45" t="s">
        <v>1663</v>
      </c>
      <c r="B17" s="47">
        <v>46265</v>
      </c>
      <c r="C17" s="47">
        <v>46276</v>
      </c>
      <c r="D17" s="61">
        <v>0</v>
      </c>
      <c r="E17" s="62">
        <f t="shared" si="0"/>
        <v>10</v>
      </c>
      <c r="F17" s="61">
        <v>46</v>
      </c>
      <c r="G17" s="61">
        <v>44</v>
      </c>
      <c r="H17" s="61">
        <v>42</v>
      </c>
      <c r="I17" s="63">
        <f t="shared" si="1"/>
        <v>0.95454545454545459</v>
      </c>
      <c r="J17" s="63">
        <f t="shared" si="2"/>
        <v>0.91304347826086951</v>
      </c>
      <c r="K17" s="64">
        <f t="shared" si="4"/>
        <v>39.333333333333336</v>
      </c>
      <c r="L17" s="62" t="str">
        <f t="shared" si="3"/>
        <v>▲ Improving</v>
      </c>
      <c r="M17" s="62">
        <v>12</v>
      </c>
    </row>
    <row r="19" spans="1:13" ht="22" customHeight="1" x14ac:dyDescent="0.35">
      <c r="A19" s="141" t="s">
        <v>1664</v>
      </c>
      <c r="B19" s="120"/>
      <c r="C19" s="120"/>
      <c r="D19" s="120"/>
      <c r="E19" s="120"/>
      <c r="F19" s="120"/>
      <c r="G19" s="120"/>
      <c r="H19" s="120"/>
      <c r="I19" s="120"/>
      <c r="J19" s="120"/>
      <c r="K19" s="120"/>
      <c r="L19" s="120"/>
      <c r="M19" s="120"/>
    </row>
    <row r="20" spans="1:13" x14ac:dyDescent="0.35">
      <c r="A20" s="142" t="s">
        <v>1665</v>
      </c>
      <c r="B20" s="127"/>
      <c r="C20" s="128"/>
      <c r="D20" s="65">
        <f>SLOPE(H6:H17,M6:M17)</f>
        <v>1.2517482517482517</v>
      </c>
    </row>
    <row r="21" spans="1:13" x14ac:dyDescent="0.35">
      <c r="A21" s="142" t="s">
        <v>1666</v>
      </c>
      <c r="B21" s="127"/>
      <c r="C21" s="128"/>
      <c r="D21" s="44">
        <f>FORECAST(13,H6:H17,M6:M17)</f>
        <v>41.63636363636364</v>
      </c>
    </row>
    <row r="22" spans="1:13" x14ac:dyDescent="0.35">
      <c r="A22" s="142" t="s">
        <v>1667</v>
      </c>
      <c r="B22" s="127"/>
      <c r="C22" s="128"/>
      <c r="D22" s="66">
        <f>AVERAGE(I6:I17)</f>
        <v>0.91013178101510162</v>
      </c>
    </row>
    <row r="23" spans="1:13" x14ac:dyDescent="0.35">
      <c r="A23" s="142" t="s">
        <v>1668</v>
      </c>
      <c r="B23" s="127"/>
      <c r="C23" s="128"/>
      <c r="D23" s="66">
        <f>AVERAGE(J6:J17)</f>
        <v>0.86076212737215352</v>
      </c>
    </row>
    <row r="25" spans="1:13" ht="22" customHeight="1" x14ac:dyDescent="0.35">
      <c r="A25" s="141" t="s">
        <v>1669</v>
      </c>
      <c r="B25" s="120"/>
      <c r="C25" s="120"/>
      <c r="D25" s="120"/>
      <c r="E25" s="120"/>
      <c r="F25" s="120"/>
      <c r="G25" s="120"/>
      <c r="H25" s="120"/>
      <c r="I25" s="120"/>
      <c r="J25" s="120"/>
      <c r="K25" s="120"/>
      <c r="L25" s="120"/>
      <c r="M25" s="120"/>
    </row>
    <row r="26" spans="1:13" x14ac:dyDescent="0.35">
      <c r="A26" s="142" t="s">
        <v>1670</v>
      </c>
      <c r="B26" s="127"/>
      <c r="C26" s="128"/>
      <c r="D26" s="67">
        <f>'Sprint Capacity Planner'!B24</f>
        <v>53.75</v>
      </c>
    </row>
    <row r="27" spans="1:13" x14ac:dyDescent="0.35">
      <c r="A27" s="142" t="s">
        <v>1671</v>
      </c>
      <c r="B27" s="127"/>
      <c r="C27" s="128"/>
      <c r="D27" s="67">
        <f>'Sprint Capacity Planner'!B25</f>
        <v>48.375</v>
      </c>
    </row>
    <row r="28" spans="1:13" x14ac:dyDescent="0.35">
      <c r="A28" s="142" t="s">
        <v>1672</v>
      </c>
      <c r="B28" s="127"/>
      <c r="C28" s="128"/>
      <c r="D28" s="67">
        <f>'Sprint Capacity Planner'!B27</f>
        <v>48.375</v>
      </c>
    </row>
    <row r="29" spans="1:13" x14ac:dyDescent="0.35">
      <c r="A29" s="142" t="s">
        <v>1673</v>
      </c>
      <c r="B29" s="127"/>
      <c r="C29" s="128"/>
      <c r="D29" s="68">
        <f>D23</f>
        <v>0.86076212737215352</v>
      </c>
    </row>
    <row r="30" spans="1:13" x14ac:dyDescent="0.35">
      <c r="A30" s="142" t="s">
        <v>1674</v>
      </c>
      <c r="B30" s="127"/>
      <c r="C30" s="128"/>
      <c r="D30" s="67">
        <f>D22</f>
        <v>0.91013178101510162</v>
      </c>
    </row>
    <row r="32" spans="1:13" ht="22" customHeight="1" x14ac:dyDescent="0.35">
      <c r="A32" s="141" t="s">
        <v>1675</v>
      </c>
      <c r="B32" s="120"/>
      <c r="C32" s="120"/>
      <c r="D32" s="120"/>
      <c r="E32" s="120"/>
      <c r="F32" s="120"/>
      <c r="G32" s="120"/>
      <c r="H32" s="120"/>
      <c r="I32" s="120"/>
      <c r="J32" s="120"/>
      <c r="K32" s="120"/>
      <c r="L32" s="120"/>
      <c r="M32" s="120"/>
    </row>
    <row r="33" spans="1:6" ht="30" customHeight="1" x14ac:dyDescent="0.35">
      <c r="A33" s="60" t="s">
        <v>1400</v>
      </c>
      <c r="B33" s="60" t="s">
        <v>159</v>
      </c>
      <c r="C33" s="60" t="s">
        <v>1676</v>
      </c>
      <c r="D33" s="60" t="s">
        <v>1625</v>
      </c>
      <c r="E33" s="60" t="s">
        <v>1677</v>
      </c>
      <c r="F33" s="60" t="s">
        <v>1678</v>
      </c>
    </row>
    <row r="34" spans="1:6" x14ac:dyDescent="0.35">
      <c r="A34" s="69" t="s">
        <v>1679</v>
      </c>
      <c r="B34" s="69" t="s">
        <v>76</v>
      </c>
      <c r="C34" s="64">
        <f>'Sprint Capacity Planner'!B19</f>
        <v>23</v>
      </c>
      <c r="D34" s="64">
        <f>'Sprint Capacity Planner'!B22</f>
        <v>2.875</v>
      </c>
      <c r="E34" s="70">
        <f>'Sprint Capacity Planner'!B15</f>
        <v>0.5</v>
      </c>
      <c r="F34" s="64">
        <f>'Sprint Capacity Planner'!B20</f>
        <v>1</v>
      </c>
    </row>
    <row r="35" spans="1:6" x14ac:dyDescent="0.35">
      <c r="A35" s="69" t="s">
        <v>1680</v>
      </c>
      <c r="B35" s="69" t="s">
        <v>94</v>
      </c>
      <c r="C35" s="64">
        <f>'Sprint Capacity Planner'!C19</f>
        <v>23</v>
      </c>
      <c r="D35" s="64">
        <f>'Sprint Capacity Planner'!C22</f>
        <v>2.875</v>
      </c>
      <c r="E35" s="70">
        <f>'Sprint Capacity Planner'!C15</f>
        <v>0.5</v>
      </c>
      <c r="F35" s="64">
        <f>'Sprint Capacity Planner'!C20</f>
        <v>1</v>
      </c>
    </row>
    <row r="36" spans="1:6" x14ac:dyDescent="0.35">
      <c r="A36" s="69" t="s">
        <v>1681</v>
      </c>
      <c r="B36" s="69" t="s">
        <v>728</v>
      </c>
      <c r="C36" s="64">
        <f>'Sprint Capacity Planner'!D19</f>
        <v>63</v>
      </c>
      <c r="D36" s="64">
        <f>'Sprint Capacity Planner'!D22</f>
        <v>7.875</v>
      </c>
      <c r="E36" s="70">
        <f>'Sprint Capacity Planner'!D15</f>
        <v>1</v>
      </c>
      <c r="F36" s="64">
        <f>'Sprint Capacity Planner'!D20</f>
        <v>1</v>
      </c>
    </row>
    <row r="37" spans="1:6" x14ac:dyDescent="0.35">
      <c r="A37" s="69" t="s">
        <v>1682</v>
      </c>
      <c r="B37" s="69" t="s">
        <v>1250</v>
      </c>
      <c r="C37" s="64">
        <f>'Sprint Capacity Planner'!E19</f>
        <v>63</v>
      </c>
      <c r="D37" s="64">
        <f>'Sprint Capacity Planner'!E22</f>
        <v>7.875</v>
      </c>
      <c r="E37" s="70">
        <f>'Sprint Capacity Planner'!E15</f>
        <v>1</v>
      </c>
      <c r="F37" s="64">
        <f>'Sprint Capacity Planner'!E20</f>
        <v>1</v>
      </c>
    </row>
    <row r="38" spans="1:6" x14ac:dyDescent="0.35">
      <c r="A38" s="69" t="s">
        <v>1683</v>
      </c>
      <c r="B38" s="69" t="s">
        <v>1584</v>
      </c>
      <c r="C38" s="64">
        <f>'Sprint Capacity Planner'!F19</f>
        <v>63</v>
      </c>
      <c r="D38" s="64">
        <f>'Sprint Capacity Planner'!F22</f>
        <v>7.875</v>
      </c>
      <c r="E38" s="70">
        <f>'Sprint Capacity Planner'!F15</f>
        <v>1</v>
      </c>
      <c r="F38" s="64">
        <f>'Sprint Capacity Planner'!F20</f>
        <v>1</v>
      </c>
    </row>
    <row r="39" spans="1:6" x14ac:dyDescent="0.35">
      <c r="A39" s="69" t="s">
        <v>1684</v>
      </c>
      <c r="B39" s="69" t="s">
        <v>1585</v>
      </c>
      <c r="C39" s="64">
        <f>'Sprint Capacity Planner'!G19</f>
        <v>63</v>
      </c>
      <c r="D39" s="64">
        <f>'Sprint Capacity Planner'!G22</f>
        <v>7.875</v>
      </c>
      <c r="E39" s="70">
        <f>'Sprint Capacity Planner'!G15</f>
        <v>1</v>
      </c>
      <c r="F39" s="64">
        <f>'Sprint Capacity Planner'!G20</f>
        <v>1</v>
      </c>
    </row>
    <row r="40" spans="1:6" x14ac:dyDescent="0.35">
      <c r="A40" s="69" t="s">
        <v>1685</v>
      </c>
      <c r="B40" s="69" t="s">
        <v>296</v>
      </c>
      <c r="C40" s="64">
        <f>'Sprint Capacity Planner'!H19</f>
        <v>23</v>
      </c>
      <c r="D40" s="64">
        <f>'Sprint Capacity Planner'!H22</f>
        <v>2.875</v>
      </c>
      <c r="E40" s="70">
        <f>'Sprint Capacity Planner'!H15</f>
        <v>0.5</v>
      </c>
      <c r="F40" s="64">
        <f>'Sprint Capacity Planner'!H20</f>
        <v>1</v>
      </c>
    </row>
    <row r="41" spans="1:6" x14ac:dyDescent="0.35">
      <c r="A41" s="69" t="s">
        <v>1686</v>
      </c>
      <c r="B41" s="69" t="s">
        <v>1586</v>
      </c>
      <c r="C41" s="64">
        <f>'Sprint Capacity Planner'!I19</f>
        <v>63</v>
      </c>
      <c r="D41" s="64">
        <f>'Sprint Capacity Planner'!I22</f>
        <v>7.875</v>
      </c>
      <c r="E41" s="70">
        <f>'Sprint Capacity Planner'!I15</f>
        <v>1</v>
      </c>
      <c r="F41" s="64">
        <f>'Sprint Capacity Planner'!I20</f>
        <v>1</v>
      </c>
    </row>
    <row r="42" spans="1:6" x14ac:dyDescent="0.35">
      <c r="A42" s="69" t="s">
        <v>1687</v>
      </c>
      <c r="B42" s="69" t="s">
        <v>659</v>
      </c>
      <c r="C42" s="64">
        <f>'Sprint Capacity Planner'!J19</f>
        <v>23</v>
      </c>
      <c r="D42" s="64">
        <f>'Sprint Capacity Planner'!J22</f>
        <v>2.875</v>
      </c>
      <c r="E42" s="70">
        <f>'Sprint Capacity Planner'!J15</f>
        <v>0.5</v>
      </c>
      <c r="F42" s="64">
        <f>'Sprint Capacity Planner'!J20</f>
        <v>1</v>
      </c>
    </row>
    <row r="43" spans="1:6" x14ac:dyDescent="0.35">
      <c r="A43" s="69" t="s">
        <v>1688</v>
      </c>
      <c r="B43" s="69" t="s">
        <v>79</v>
      </c>
      <c r="C43" s="64">
        <f>'Sprint Capacity Planner'!K19</f>
        <v>23</v>
      </c>
      <c r="D43" s="64">
        <f>'Sprint Capacity Planner'!K22</f>
        <v>2.875</v>
      </c>
      <c r="E43" s="70">
        <f>'Sprint Capacity Planner'!K15</f>
        <v>0.5</v>
      </c>
      <c r="F43" s="64">
        <f>'Sprint Capacity Planner'!K20</f>
        <v>1</v>
      </c>
    </row>
  </sheetData>
  <mergeCells count="15">
    <mergeCell ref="A28:C28"/>
    <mergeCell ref="A19:M19"/>
    <mergeCell ref="A1:M1"/>
    <mergeCell ref="A32:M32"/>
    <mergeCell ref="A23:C23"/>
    <mergeCell ref="A22:C22"/>
    <mergeCell ref="A3:M3"/>
    <mergeCell ref="A27:C27"/>
    <mergeCell ref="A21:C21"/>
    <mergeCell ref="A30:C30"/>
    <mergeCell ref="A2:M2"/>
    <mergeCell ref="A25:M25"/>
    <mergeCell ref="A20:C20"/>
    <mergeCell ref="A26:C26"/>
    <mergeCell ref="A29:C29"/>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2"/>
  <sheetViews>
    <sheetView showGridLines="0" workbookViewId="0">
      <selection sqref="A1:F1"/>
    </sheetView>
  </sheetViews>
  <sheetFormatPr defaultRowHeight="14.5" x14ac:dyDescent="0.35"/>
  <cols>
    <col min="1" max="1" width="12" customWidth="1"/>
    <col min="2" max="2" width="24" customWidth="1"/>
    <col min="3" max="3" width="30" customWidth="1"/>
    <col min="4" max="4" width="72" customWidth="1"/>
    <col min="5" max="5" width="34" customWidth="1"/>
    <col min="6" max="6" width="16" customWidth="1"/>
  </cols>
  <sheetData>
    <row r="1" spans="1:6" ht="30" customHeight="1" x14ac:dyDescent="0.35">
      <c r="A1" s="140" t="s">
        <v>1689</v>
      </c>
      <c r="B1" s="120"/>
      <c r="C1" s="120"/>
      <c r="D1" s="120"/>
      <c r="E1" s="120"/>
      <c r="F1" s="120"/>
    </row>
    <row r="2" spans="1:6" ht="18" customHeight="1" x14ac:dyDescent="0.35">
      <c r="A2" s="138" t="s">
        <v>1690</v>
      </c>
      <c r="B2" s="120"/>
      <c r="C2" s="120"/>
      <c r="D2" s="120"/>
      <c r="E2" s="120"/>
      <c r="F2" s="120"/>
    </row>
    <row r="4" spans="1:6" ht="30" customHeight="1" x14ac:dyDescent="0.35">
      <c r="A4" s="60" t="s">
        <v>264</v>
      </c>
      <c r="B4" s="60" t="s">
        <v>1691</v>
      </c>
      <c r="C4" s="60" t="s">
        <v>130</v>
      </c>
      <c r="D4" s="60" t="s">
        <v>1692</v>
      </c>
      <c r="E4" s="60" t="s">
        <v>1693</v>
      </c>
      <c r="F4" s="60" t="s">
        <v>1694</v>
      </c>
    </row>
    <row r="5" spans="1:6" ht="44" customHeight="1" x14ac:dyDescent="0.35">
      <c r="A5" s="71" t="s">
        <v>293</v>
      </c>
      <c r="B5" s="72" t="s">
        <v>1695</v>
      </c>
      <c r="C5" s="72" t="s">
        <v>1696</v>
      </c>
      <c r="D5" s="72" t="s">
        <v>1697</v>
      </c>
      <c r="E5" s="72" t="s">
        <v>1698</v>
      </c>
      <c r="F5" s="72" t="s">
        <v>300</v>
      </c>
    </row>
    <row r="6" spans="1:6" ht="44" customHeight="1" x14ac:dyDescent="0.35">
      <c r="A6" s="73" t="s">
        <v>362</v>
      </c>
      <c r="B6" s="74" t="s">
        <v>1699</v>
      </c>
      <c r="C6" s="74" t="s">
        <v>1700</v>
      </c>
      <c r="D6" s="74" t="s">
        <v>1701</v>
      </c>
      <c r="E6" s="74" t="s">
        <v>1702</v>
      </c>
      <c r="F6" s="74"/>
    </row>
    <row r="7" spans="1:6" ht="44" customHeight="1" x14ac:dyDescent="0.35">
      <c r="A7" s="71" t="s">
        <v>1703</v>
      </c>
      <c r="B7" s="72" t="s">
        <v>1704</v>
      </c>
      <c r="C7" s="72" t="s">
        <v>1700</v>
      </c>
      <c r="D7" s="72" t="s">
        <v>1705</v>
      </c>
      <c r="E7" s="72" t="s">
        <v>1706</v>
      </c>
      <c r="F7" s="72" t="s">
        <v>1707</v>
      </c>
    </row>
    <row r="8" spans="1:6" ht="44" customHeight="1" x14ac:dyDescent="0.35">
      <c r="A8" s="73" t="s">
        <v>1708</v>
      </c>
      <c r="B8" s="74" t="s">
        <v>1709</v>
      </c>
      <c r="C8" s="74" t="s">
        <v>1700</v>
      </c>
      <c r="D8" s="74" t="s">
        <v>1710</v>
      </c>
      <c r="E8" s="74" t="s">
        <v>1711</v>
      </c>
      <c r="F8" s="74" t="s">
        <v>1712</v>
      </c>
    </row>
    <row r="9" spans="1:6" ht="44" customHeight="1" x14ac:dyDescent="0.35">
      <c r="A9" s="71" t="s">
        <v>1713</v>
      </c>
      <c r="B9" s="72" t="s">
        <v>1714</v>
      </c>
      <c r="C9" s="72" t="s">
        <v>1700</v>
      </c>
      <c r="D9" s="72" t="s">
        <v>1715</v>
      </c>
      <c r="E9" s="72" t="s">
        <v>1716</v>
      </c>
      <c r="F9" s="72"/>
    </row>
    <row r="10" spans="1:6" ht="44" customHeight="1" x14ac:dyDescent="0.35">
      <c r="A10" s="73" t="s">
        <v>1717</v>
      </c>
      <c r="B10" s="74" t="s">
        <v>1718</v>
      </c>
      <c r="C10" s="74" t="s">
        <v>1700</v>
      </c>
      <c r="D10" s="74" t="s">
        <v>1719</v>
      </c>
      <c r="E10" s="74" t="s">
        <v>1720</v>
      </c>
      <c r="F10" s="74"/>
    </row>
    <row r="11" spans="1:6" ht="44" customHeight="1" x14ac:dyDescent="0.35">
      <c r="A11" s="71" t="s">
        <v>1721</v>
      </c>
      <c r="B11" s="72" t="s">
        <v>1722</v>
      </c>
      <c r="C11" s="72" t="s">
        <v>1700</v>
      </c>
      <c r="D11" s="72" t="s">
        <v>1723</v>
      </c>
      <c r="E11" s="72" t="s">
        <v>1724</v>
      </c>
      <c r="F11" s="72" t="s">
        <v>1725</v>
      </c>
    </row>
    <row r="12" spans="1:6" ht="44" customHeight="1" x14ac:dyDescent="0.35">
      <c r="A12" s="73" t="s">
        <v>1726</v>
      </c>
      <c r="B12" s="74" t="s">
        <v>1727</v>
      </c>
      <c r="C12" s="74" t="s">
        <v>1700</v>
      </c>
      <c r="D12" s="74" t="s">
        <v>1728</v>
      </c>
      <c r="E12" s="74" t="s">
        <v>1729</v>
      </c>
      <c r="F12" s="74" t="s">
        <v>1730</v>
      </c>
    </row>
    <row r="13" spans="1:6" ht="44" customHeight="1" x14ac:dyDescent="0.35">
      <c r="A13" s="71" t="s">
        <v>1731</v>
      </c>
      <c r="B13" s="72" t="s">
        <v>1732</v>
      </c>
      <c r="C13" s="72" t="s">
        <v>1700</v>
      </c>
      <c r="D13" s="72" t="s">
        <v>1733</v>
      </c>
      <c r="E13" s="72" t="s">
        <v>1734</v>
      </c>
      <c r="F13" s="72" t="s">
        <v>1735</v>
      </c>
    </row>
    <row r="14" spans="1:6" ht="44" customHeight="1" x14ac:dyDescent="0.35">
      <c r="A14" s="73" t="s">
        <v>1736</v>
      </c>
      <c r="B14" s="74" t="s">
        <v>1737</v>
      </c>
      <c r="C14" s="74" t="s">
        <v>1700</v>
      </c>
      <c r="D14" s="74" t="s">
        <v>1738</v>
      </c>
      <c r="E14" s="74" t="s">
        <v>1739</v>
      </c>
      <c r="F14" s="74"/>
    </row>
    <row r="15" spans="1:6" ht="44" customHeight="1" x14ac:dyDescent="0.35">
      <c r="A15" s="71" t="s">
        <v>1740</v>
      </c>
      <c r="B15" s="72" t="s">
        <v>1741</v>
      </c>
      <c r="C15" s="72" t="s">
        <v>1700</v>
      </c>
      <c r="D15" s="72" t="s">
        <v>1742</v>
      </c>
      <c r="E15" s="72" t="s">
        <v>1743</v>
      </c>
      <c r="F15" s="72" t="s">
        <v>1744</v>
      </c>
    </row>
    <row r="16" spans="1:6" ht="44" customHeight="1" x14ac:dyDescent="0.35">
      <c r="A16" s="73" t="s">
        <v>1745</v>
      </c>
      <c r="B16" s="74" t="s">
        <v>1746</v>
      </c>
      <c r="C16" s="74" t="s">
        <v>1700</v>
      </c>
      <c r="D16" s="74" t="s">
        <v>1747</v>
      </c>
      <c r="E16" s="74" t="s">
        <v>1748</v>
      </c>
      <c r="F16" s="74"/>
    </row>
    <row r="17" spans="1:6" ht="44" customHeight="1" x14ac:dyDescent="0.35">
      <c r="A17" s="71" t="s">
        <v>1456</v>
      </c>
      <c r="B17" s="72" t="s">
        <v>1749</v>
      </c>
      <c r="C17" s="72" t="s">
        <v>1750</v>
      </c>
      <c r="D17" s="72" t="s">
        <v>1751</v>
      </c>
      <c r="E17" s="72" t="s">
        <v>1752</v>
      </c>
      <c r="F17" s="72" t="s">
        <v>1753</v>
      </c>
    </row>
    <row r="18" spans="1:6" ht="44" customHeight="1" x14ac:dyDescent="0.35">
      <c r="A18" s="73" t="s">
        <v>1754</v>
      </c>
      <c r="B18" s="74" t="s">
        <v>1755</v>
      </c>
      <c r="C18" s="74" t="s">
        <v>1756</v>
      </c>
      <c r="D18" s="74" t="s">
        <v>1757</v>
      </c>
      <c r="E18" s="74" t="s">
        <v>1758</v>
      </c>
      <c r="F18" s="74" t="s">
        <v>1759</v>
      </c>
    </row>
    <row r="19" spans="1:6" ht="44" customHeight="1" x14ac:dyDescent="0.35">
      <c r="A19" s="71" t="s">
        <v>1469</v>
      </c>
      <c r="B19" s="72" t="s">
        <v>1760</v>
      </c>
      <c r="C19" s="72" t="s">
        <v>1761</v>
      </c>
      <c r="D19" s="72" t="s">
        <v>1762</v>
      </c>
      <c r="E19" s="72" t="s">
        <v>1763</v>
      </c>
      <c r="F19" s="72"/>
    </row>
    <row r="20" spans="1:6" ht="44" customHeight="1" x14ac:dyDescent="0.35">
      <c r="A20" s="73" t="s">
        <v>1764</v>
      </c>
      <c r="B20" s="74" t="s">
        <v>1765</v>
      </c>
      <c r="C20" s="74" t="s">
        <v>1761</v>
      </c>
      <c r="D20" s="74" t="s">
        <v>1766</v>
      </c>
      <c r="E20" s="74" t="s">
        <v>1767</v>
      </c>
      <c r="F20" s="74"/>
    </row>
    <row r="22" spans="1:6" x14ac:dyDescent="0.35">
      <c r="A22" s="143" t="s">
        <v>1768</v>
      </c>
      <c r="B22" s="120"/>
      <c r="C22" s="120"/>
      <c r="D22" s="120"/>
      <c r="E22" s="120"/>
      <c r="F22" s="120"/>
    </row>
  </sheetData>
  <mergeCells count="3">
    <mergeCell ref="A2:F2"/>
    <mergeCell ref="A22:F22"/>
    <mergeCell ref="A1:F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58"/>
  <sheetViews>
    <sheetView showGridLines="0" workbookViewId="0">
      <pane ySplit="4" topLeftCell="A5" activePane="bottomLeft" state="frozen"/>
      <selection pane="bottomLeft" sqref="A1:F1"/>
    </sheetView>
  </sheetViews>
  <sheetFormatPr defaultRowHeight="14.5" x14ac:dyDescent="0.35"/>
  <sheetData>
    <row r="1" spans="1:6" ht="30" customHeight="1" x14ac:dyDescent="0.35">
      <c r="A1" s="140" t="s">
        <v>1769</v>
      </c>
      <c r="B1" s="120"/>
      <c r="C1" s="120"/>
      <c r="D1" s="120"/>
      <c r="E1" s="120"/>
      <c r="F1" s="120"/>
    </row>
    <row r="2" spans="1:6" ht="18" customHeight="1" x14ac:dyDescent="0.35">
      <c r="A2" s="138" t="s">
        <v>1770</v>
      </c>
      <c r="B2" s="120"/>
      <c r="C2" s="120"/>
      <c r="D2" s="120"/>
      <c r="E2" s="120"/>
      <c r="F2" s="120"/>
    </row>
    <row r="4" spans="1:6" ht="30" customHeight="1" x14ac:dyDescent="0.35">
      <c r="A4" s="60" t="s">
        <v>263</v>
      </c>
      <c r="B4" s="60" t="s">
        <v>1771</v>
      </c>
      <c r="C4" s="60" t="s">
        <v>265</v>
      </c>
      <c r="D4" s="60" t="s">
        <v>269</v>
      </c>
      <c r="E4" s="60" t="s">
        <v>270</v>
      </c>
      <c r="F4" s="60" t="s">
        <v>26</v>
      </c>
    </row>
    <row r="5" spans="1:6" ht="52" x14ac:dyDescent="0.35">
      <c r="A5" s="75" t="s">
        <v>321</v>
      </c>
      <c r="B5" s="76" t="s">
        <v>322</v>
      </c>
      <c r="C5" s="77" t="s">
        <v>294</v>
      </c>
      <c r="D5" s="78">
        <v>1.5</v>
      </c>
      <c r="E5" s="79" t="s">
        <v>298</v>
      </c>
      <c r="F5" s="80" t="s">
        <v>324</v>
      </c>
    </row>
    <row r="6" spans="1:6" ht="65" x14ac:dyDescent="0.35">
      <c r="A6" s="75" t="s">
        <v>330</v>
      </c>
      <c r="B6" s="76" t="s">
        <v>331</v>
      </c>
      <c r="C6" s="77" t="s">
        <v>294</v>
      </c>
      <c r="D6" s="78">
        <v>0.5</v>
      </c>
      <c r="E6" s="79" t="s">
        <v>298</v>
      </c>
      <c r="F6" s="80" t="s">
        <v>324</v>
      </c>
    </row>
    <row r="7" spans="1:6" ht="52" x14ac:dyDescent="0.35">
      <c r="A7" s="75" t="s">
        <v>335</v>
      </c>
      <c r="B7" s="76" t="s">
        <v>336</v>
      </c>
      <c r="C7" s="77" t="s">
        <v>294</v>
      </c>
      <c r="D7" s="78">
        <v>0.5</v>
      </c>
      <c r="E7" s="79" t="s">
        <v>334</v>
      </c>
      <c r="F7" s="80" t="s">
        <v>324</v>
      </c>
    </row>
    <row r="8" spans="1:6" ht="65" x14ac:dyDescent="0.35">
      <c r="A8" s="75" t="s">
        <v>337</v>
      </c>
      <c r="B8" s="76" t="s">
        <v>338</v>
      </c>
      <c r="C8" s="77" t="s">
        <v>294</v>
      </c>
      <c r="D8" s="79" t="s">
        <v>339</v>
      </c>
      <c r="E8" s="79" t="s">
        <v>334</v>
      </c>
      <c r="F8" s="80" t="s">
        <v>324</v>
      </c>
    </row>
    <row r="9" spans="1:6" ht="65" x14ac:dyDescent="0.35">
      <c r="A9" s="75" t="s">
        <v>332</v>
      </c>
      <c r="B9" s="76" t="s">
        <v>333</v>
      </c>
      <c r="C9" s="77" t="s">
        <v>294</v>
      </c>
      <c r="D9" s="78">
        <v>1</v>
      </c>
      <c r="E9" s="79" t="s">
        <v>334</v>
      </c>
      <c r="F9" s="80" t="s">
        <v>324</v>
      </c>
    </row>
    <row r="10" spans="1:6" ht="78" x14ac:dyDescent="0.35">
      <c r="A10" s="75" t="s">
        <v>1772</v>
      </c>
      <c r="B10" s="76" t="s">
        <v>1773</v>
      </c>
      <c r="C10" s="77" t="s">
        <v>294</v>
      </c>
      <c r="D10" s="78">
        <v>1</v>
      </c>
      <c r="E10" s="79" t="s">
        <v>334</v>
      </c>
      <c r="F10" s="80" t="s">
        <v>324</v>
      </c>
    </row>
    <row r="11" spans="1:6" ht="52" x14ac:dyDescent="0.35">
      <c r="A11" s="75" t="s">
        <v>325</v>
      </c>
      <c r="B11" s="76" t="s">
        <v>326</v>
      </c>
      <c r="C11" s="77" t="s">
        <v>294</v>
      </c>
      <c r="D11" s="78">
        <v>0.5</v>
      </c>
      <c r="E11" s="79" t="s">
        <v>298</v>
      </c>
      <c r="F11" s="80" t="s">
        <v>324</v>
      </c>
    </row>
    <row r="12" spans="1:6" ht="65" x14ac:dyDescent="0.35">
      <c r="A12" s="75" t="s">
        <v>389</v>
      </c>
      <c r="B12" s="76" t="s">
        <v>1774</v>
      </c>
      <c r="C12" s="77" t="s">
        <v>363</v>
      </c>
      <c r="D12" s="78">
        <v>1.5</v>
      </c>
      <c r="E12" s="79" t="s">
        <v>298</v>
      </c>
      <c r="F12" s="80" t="s">
        <v>324</v>
      </c>
    </row>
    <row r="13" spans="1:6" ht="65" x14ac:dyDescent="0.35">
      <c r="A13" s="75" t="s">
        <v>1775</v>
      </c>
      <c r="B13" s="76" t="s">
        <v>1776</v>
      </c>
      <c r="C13" s="77" t="s">
        <v>1105</v>
      </c>
      <c r="D13" s="78">
        <v>4</v>
      </c>
      <c r="E13" s="79" t="s">
        <v>298</v>
      </c>
      <c r="F13" s="80" t="s">
        <v>324</v>
      </c>
    </row>
    <row r="14" spans="1:6" ht="52" x14ac:dyDescent="0.35">
      <c r="A14" s="75" t="s">
        <v>1777</v>
      </c>
      <c r="B14" s="76" t="s">
        <v>1778</v>
      </c>
      <c r="C14" s="77" t="s">
        <v>1105</v>
      </c>
      <c r="D14" s="78">
        <v>3</v>
      </c>
      <c r="E14" s="79" t="s">
        <v>298</v>
      </c>
      <c r="F14" s="80" t="s">
        <v>324</v>
      </c>
    </row>
    <row r="15" spans="1:6" ht="52" x14ac:dyDescent="0.35">
      <c r="A15" s="75" t="s">
        <v>1779</v>
      </c>
      <c r="B15" s="76" t="s">
        <v>1780</v>
      </c>
      <c r="C15" s="77" t="s">
        <v>1105</v>
      </c>
      <c r="D15" s="78">
        <v>3</v>
      </c>
      <c r="E15" s="79" t="s">
        <v>298</v>
      </c>
      <c r="F15" s="80" t="s">
        <v>324</v>
      </c>
    </row>
    <row r="16" spans="1:6" ht="52" x14ac:dyDescent="0.35">
      <c r="A16" s="75" t="s">
        <v>1781</v>
      </c>
      <c r="B16" s="76" t="s">
        <v>1782</v>
      </c>
      <c r="C16" s="77" t="s">
        <v>1105</v>
      </c>
      <c r="D16" s="78">
        <v>1</v>
      </c>
      <c r="E16" s="79" t="s">
        <v>357</v>
      </c>
      <c r="F16" s="80" t="s">
        <v>324</v>
      </c>
    </row>
    <row r="17" spans="1:6" ht="52" x14ac:dyDescent="0.35">
      <c r="A17" s="75" t="s">
        <v>1783</v>
      </c>
      <c r="B17" s="76" t="s">
        <v>1784</v>
      </c>
      <c r="C17" s="77" t="s">
        <v>1105</v>
      </c>
      <c r="D17" s="78">
        <v>3</v>
      </c>
      <c r="E17" s="79" t="s">
        <v>298</v>
      </c>
      <c r="F17" s="80" t="s">
        <v>324</v>
      </c>
    </row>
    <row r="18" spans="1:6" ht="26" x14ac:dyDescent="0.35">
      <c r="A18" s="75" t="s">
        <v>1785</v>
      </c>
      <c r="B18" s="76" t="s">
        <v>1786</v>
      </c>
      <c r="C18" s="77" t="s">
        <v>1105</v>
      </c>
      <c r="D18" s="78">
        <v>1</v>
      </c>
      <c r="E18" s="79" t="s">
        <v>298</v>
      </c>
      <c r="F18" s="80" t="s">
        <v>324</v>
      </c>
    </row>
    <row r="19" spans="1:6" ht="39" x14ac:dyDescent="0.35">
      <c r="A19" s="75" t="s">
        <v>1787</v>
      </c>
      <c r="B19" s="76" t="s">
        <v>1788</v>
      </c>
      <c r="C19" s="77" t="s">
        <v>1105</v>
      </c>
      <c r="D19" s="78">
        <v>2</v>
      </c>
      <c r="E19" s="79" t="s">
        <v>298</v>
      </c>
      <c r="F19" s="80" t="s">
        <v>324</v>
      </c>
    </row>
    <row r="20" spans="1:6" ht="39" x14ac:dyDescent="0.35">
      <c r="A20" s="75" t="s">
        <v>1789</v>
      </c>
      <c r="B20" s="76" t="s">
        <v>1790</v>
      </c>
      <c r="C20" s="77" t="s">
        <v>1105</v>
      </c>
      <c r="D20" s="78">
        <v>0.5</v>
      </c>
      <c r="E20" s="79" t="s">
        <v>357</v>
      </c>
      <c r="F20" s="80" t="s">
        <v>324</v>
      </c>
    </row>
    <row r="21" spans="1:6" ht="39" x14ac:dyDescent="0.35">
      <c r="A21" s="75" t="s">
        <v>1791</v>
      </c>
      <c r="B21" s="76" t="s">
        <v>1792</v>
      </c>
      <c r="C21" s="77" t="s">
        <v>1105</v>
      </c>
      <c r="D21" s="78">
        <v>0.5</v>
      </c>
      <c r="E21" s="79" t="s">
        <v>298</v>
      </c>
      <c r="F21" s="80" t="s">
        <v>324</v>
      </c>
    </row>
    <row r="22" spans="1:6" ht="39" x14ac:dyDescent="0.35">
      <c r="A22" s="75" t="s">
        <v>1793</v>
      </c>
      <c r="B22" s="76" t="s">
        <v>1794</v>
      </c>
      <c r="C22" s="77" t="s">
        <v>1105</v>
      </c>
      <c r="D22" s="78">
        <v>0.5</v>
      </c>
      <c r="E22" s="79" t="s">
        <v>298</v>
      </c>
      <c r="F22" s="80" t="s">
        <v>324</v>
      </c>
    </row>
    <row r="23" spans="1:6" ht="65" x14ac:dyDescent="0.35">
      <c r="A23" s="75" t="s">
        <v>1002</v>
      </c>
      <c r="B23" s="76" t="s">
        <v>1795</v>
      </c>
      <c r="C23" s="77" t="s">
        <v>1105</v>
      </c>
      <c r="D23" s="78">
        <v>8</v>
      </c>
      <c r="E23" s="79" t="s">
        <v>298</v>
      </c>
      <c r="F23" s="80" t="s">
        <v>324</v>
      </c>
    </row>
    <row r="24" spans="1:6" ht="65" x14ac:dyDescent="0.35">
      <c r="A24" s="75" t="s">
        <v>1796</v>
      </c>
      <c r="B24" s="76" t="s">
        <v>1797</v>
      </c>
      <c r="C24" s="77" t="s">
        <v>1105</v>
      </c>
      <c r="D24" s="78">
        <v>1</v>
      </c>
      <c r="E24" s="79" t="s">
        <v>298</v>
      </c>
      <c r="F24" s="80" t="s">
        <v>324</v>
      </c>
    </row>
    <row r="25" spans="1:6" ht="52" x14ac:dyDescent="0.35">
      <c r="A25" s="75" t="s">
        <v>1798</v>
      </c>
      <c r="B25" s="76" t="s">
        <v>1799</v>
      </c>
      <c r="C25" s="77" t="s">
        <v>1105</v>
      </c>
      <c r="D25" s="78">
        <v>1</v>
      </c>
      <c r="E25" s="79" t="s">
        <v>298</v>
      </c>
      <c r="F25" s="80" t="s">
        <v>324</v>
      </c>
    </row>
    <row r="26" spans="1:6" ht="52" x14ac:dyDescent="0.35">
      <c r="A26" s="75" t="s">
        <v>1800</v>
      </c>
      <c r="B26" s="76" t="s">
        <v>1801</v>
      </c>
      <c r="C26" s="77" t="s">
        <v>1802</v>
      </c>
      <c r="D26" s="78">
        <v>0.5</v>
      </c>
      <c r="E26" s="79" t="s">
        <v>298</v>
      </c>
      <c r="F26" s="80" t="s">
        <v>324</v>
      </c>
    </row>
    <row r="27" spans="1:6" ht="39" x14ac:dyDescent="0.35">
      <c r="A27" s="75" t="s">
        <v>1803</v>
      </c>
      <c r="B27" s="76" t="s">
        <v>1804</v>
      </c>
      <c r="C27" s="77" t="s">
        <v>1802</v>
      </c>
      <c r="D27" s="78">
        <v>1.5</v>
      </c>
      <c r="E27" s="79" t="s">
        <v>298</v>
      </c>
      <c r="F27" s="80" t="s">
        <v>324</v>
      </c>
    </row>
    <row r="28" spans="1:6" ht="65" x14ac:dyDescent="0.35">
      <c r="A28" s="75" t="s">
        <v>1805</v>
      </c>
      <c r="B28" s="76" t="s">
        <v>1806</v>
      </c>
      <c r="C28" s="77" t="s">
        <v>1802</v>
      </c>
      <c r="D28" s="79" t="s">
        <v>339</v>
      </c>
      <c r="E28" s="79" t="s">
        <v>298</v>
      </c>
      <c r="F28" s="80" t="s">
        <v>324</v>
      </c>
    </row>
    <row r="29" spans="1:6" ht="65" x14ac:dyDescent="0.35">
      <c r="A29" s="75" t="s">
        <v>1807</v>
      </c>
      <c r="B29" s="76" t="s">
        <v>1808</v>
      </c>
      <c r="C29" s="77" t="s">
        <v>1352</v>
      </c>
      <c r="D29" s="79" t="s">
        <v>339</v>
      </c>
      <c r="E29" s="79" t="s">
        <v>298</v>
      </c>
      <c r="F29" s="80" t="s">
        <v>324</v>
      </c>
    </row>
    <row r="30" spans="1:6" ht="39" x14ac:dyDescent="0.35">
      <c r="A30" s="75" t="s">
        <v>1809</v>
      </c>
      <c r="B30" s="76" t="s">
        <v>1810</v>
      </c>
      <c r="C30" s="77" t="s">
        <v>1352</v>
      </c>
      <c r="D30" s="79" t="s">
        <v>339</v>
      </c>
      <c r="E30" s="79" t="s">
        <v>298</v>
      </c>
      <c r="F30" s="80" t="s">
        <v>324</v>
      </c>
    </row>
    <row r="31" spans="1:6" ht="39" x14ac:dyDescent="0.35">
      <c r="A31" s="75" t="s">
        <v>1811</v>
      </c>
      <c r="B31" s="76" t="s">
        <v>1812</v>
      </c>
      <c r="C31" s="77" t="s">
        <v>1352</v>
      </c>
      <c r="D31" s="79" t="s">
        <v>339</v>
      </c>
      <c r="E31" s="79" t="s">
        <v>298</v>
      </c>
      <c r="F31" s="80" t="s">
        <v>324</v>
      </c>
    </row>
    <row r="32" spans="1:6" ht="52" x14ac:dyDescent="0.35">
      <c r="A32" s="75" t="s">
        <v>1813</v>
      </c>
      <c r="B32" s="76" t="s">
        <v>1814</v>
      </c>
      <c r="C32" s="77" t="s">
        <v>1352</v>
      </c>
      <c r="D32" s="79" t="s">
        <v>339</v>
      </c>
      <c r="E32" s="79" t="s">
        <v>298</v>
      </c>
      <c r="F32" s="80" t="s">
        <v>324</v>
      </c>
    </row>
    <row r="33" spans="1:6" ht="52" x14ac:dyDescent="0.35">
      <c r="A33" s="75" t="s">
        <v>1815</v>
      </c>
      <c r="B33" s="76" t="s">
        <v>1816</v>
      </c>
      <c r="C33" s="77" t="s">
        <v>1352</v>
      </c>
      <c r="D33" s="79" t="s">
        <v>339</v>
      </c>
      <c r="E33" s="79" t="s">
        <v>298</v>
      </c>
      <c r="F33" s="80" t="s">
        <v>324</v>
      </c>
    </row>
    <row r="34" spans="1:6" ht="39" x14ac:dyDescent="0.35">
      <c r="A34" s="75" t="s">
        <v>1817</v>
      </c>
      <c r="B34" s="76" t="s">
        <v>1818</v>
      </c>
      <c r="C34" s="77" t="s">
        <v>1352</v>
      </c>
      <c r="D34" s="79" t="s">
        <v>339</v>
      </c>
      <c r="E34" s="79" t="s">
        <v>298</v>
      </c>
      <c r="F34" s="80" t="s">
        <v>324</v>
      </c>
    </row>
    <row r="35" spans="1:6" ht="39" x14ac:dyDescent="0.35">
      <c r="A35" s="75" t="s">
        <v>1819</v>
      </c>
      <c r="B35" s="76" t="s">
        <v>1820</v>
      </c>
      <c r="C35" s="77" t="s">
        <v>1352</v>
      </c>
      <c r="D35" s="79" t="s">
        <v>339</v>
      </c>
      <c r="E35" s="79" t="s">
        <v>298</v>
      </c>
      <c r="F35" s="80" t="s">
        <v>324</v>
      </c>
    </row>
    <row r="36" spans="1:6" ht="78" x14ac:dyDescent="0.35">
      <c r="A36" s="75" t="s">
        <v>1821</v>
      </c>
      <c r="B36" s="76" t="s">
        <v>1822</v>
      </c>
      <c r="C36" s="77" t="s">
        <v>1352</v>
      </c>
      <c r="D36" s="79" t="s">
        <v>339</v>
      </c>
      <c r="E36" s="79" t="s">
        <v>298</v>
      </c>
      <c r="F36" s="80" t="s">
        <v>324</v>
      </c>
    </row>
    <row r="37" spans="1:6" ht="52" x14ac:dyDescent="0.35">
      <c r="A37" s="75" t="s">
        <v>1823</v>
      </c>
      <c r="B37" s="76" t="s">
        <v>1824</v>
      </c>
      <c r="C37" s="77" t="s">
        <v>1352</v>
      </c>
      <c r="D37" s="79" t="s">
        <v>339</v>
      </c>
      <c r="E37" s="79" t="s">
        <v>298</v>
      </c>
      <c r="F37" s="80" t="s">
        <v>324</v>
      </c>
    </row>
    <row r="38" spans="1:6" ht="104" x14ac:dyDescent="0.35">
      <c r="A38" s="75" t="s">
        <v>1825</v>
      </c>
      <c r="B38" s="76" t="s">
        <v>1826</v>
      </c>
      <c r="C38" s="77" t="s">
        <v>1352</v>
      </c>
      <c r="D38" s="79" t="s">
        <v>339</v>
      </c>
      <c r="E38" s="79" t="s">
        <v>298</v>
      </c>
      <c r="F38" s="80" t="s">
        <v>324</v>
      </c>
    </row>
    <row r="39" spans="1:6" ht="39" x14ac:dyDescent="0.35">
      <c r="A39" s="75" t="s">
        <v>1759</v>
      </c>
      <c r="B39" s="76" t="s">
        <v>1827</v>
      </c>
      <c r="C39" s="77" t="s">
        <v>1828</v>
      </c>
      <c r="D39" s="78">
        <v>1.5</v>
      </c>
      <c r="E39" s="79" t="s">
        <v>298</v>
      </c>
      <c r="F39" s="80" t="s">
        <v>324</v>
      </c>
    </row>
    <row r="40" spans="1:6" ht="52" x14ac:dyDescent="0.35">
      <c r="A40" s="75" t="s">
        <v>1829</v>
      </c>
      <c r="B40" s="76" t="s">
        <v>1830</v>
      </c>
      <c r="C40" s="77" t="s">
        <v>1828</v>
      </c>
      <c r="D40" s="78">
        <v>1</v>
      </c>
      <c r="E40" s="79" t="s">
        <v>298</v>
      </c>
      <c r="F40" s="80" t="s">
        <v>324</v>
      </c>
    </row>
    <row r="41" spans="1:6" ht="65" x14ac:dyDescent="0.35">
      <c r="A41" s="75" t="s">
        <v>1831</v>
      </c>
      <c r="B41" s="76" t="s">
        <v>1832</v>
      </c>
      <c r="C41" s="77" t="s">
        <v>1828</v>
      </c>
      <c r="D41" s="78">
        <v>0.5</v>
      </c>
      <c r="E41" s="79" t="s">
        <v>298</v>
      </c>
      <c r="F41" s="80" t="s">
        <v>324</v>
      </c>
    </row>
    <row r="42" spans="1:6" ht="65" x14ac:dyDescent="0.35">
      <c r="A42" s="75" t="s">
        <v>1833</v>
      </c>
      <c r="B42" s="76" t="s">
        <v>1834</v>
      </c>
      <c r="C42" s="77" t="s">
        <v>1828</v>
      </c>
      <c r="D42" s="79" t="s">
        <v>339</v>
      </c>
      <c r="E42" s="79" t="s">
        <v>298</v>
      </c>
      <c r="F42" s="80" t="s">
        <v>324</v>
      </c>
    </row>
    <row r="43" spans="1:6" ht="39" x14ac:dyDescent="0.35">
      <c r="A43" s="75" t="s">
        <v>1835</v>
      </c>
      <c r="B43" s="76" t="s">
        <v>1836</v>
      </c>
      <c r="C43" s="77" t="s">
        <v>1828</v>
      </c>
      <c r="D43" s="79" t="s">
        <v>339</v>
      </c>
      <c r="E43" s="79" t="s">
        <v>298</v>
      </c>
      <c r="F43" s="80" t="s">
        <v>324</v>
      </c>
    </row>
    <row r="44" spans="1:6" ht="26" x14ac:dyDescent="0.35">
      <c r="A44" s="75" t="s">
        <v>1837</v>
      </c>
      <c r="B44" s="76" t="s">
        <v>1838</v>
      </c>
      <c r="C44" s="77" t="s">
        <v>1828</v>
      </c>
      <c r="D44" s="78">
        <v>0.25</v>
      </c>
      <c r="E44" s="79" t="s">
        <v>298</v>
      </c>
      <c r="F44" s="80" t="s">
        <v>324</v>
      </c>
    </row>
    <row r="45" spans="1:6" ht="65" x14ac:dyDescent="0.35">
      <c r="A45" s="75" t="s">
        <v>1839</v>
      </c>
      <c r="B45" s="76" t="s">
        <v>1840</v>
      </c>
      <c r="C45" s="77" t="s">
        <v>1828</v>
      </c>
      <c r="D45" s="79" t="s">
        <v>339</v>
      </c>
      <c r="E45" s="79" t="s">
        <v>298</v>
      </c>
      <c r="F45" s="80" t="s">
        <v>324</v>
      </c>
    </row>
    <row r="46" spans="1:6" ht="52" x14ac:dyDescent="0.35">
      <c r="A46" s="75" t="s">
        <v>1841</v>
      </c>
      <c r="B46" s="76" t="s">
        <v>1842</v>
      </c>
      <c r="C46" s="77" t="s">
        <v>1843</v>
      </c>
      <c r="D46" s="78">
        <v>1.5</v>
      </c>
      <c r="E46" s="79" t="s">
        <v>298</v>
      </c>
      <c r="F46" s="80" t="s">
        <v>324</v>
      </c>
    </row>
    <row r="47" spans="1:6" ht="39" x14ac:dyDescent="0.35">
      <c r="A47" s="75" t="s">
        <v>1844</v>
      </c>
      <c r="B47" s="76" t="s">
        <v>1845</v>
      </c>
      <c r="C47" s="77" t="s">
        <v>1843</v>
      </c>
      <c r="D47" s="78">
        <v>3</v>
      </c>
      <c r="E47" s="79" t="s">
        <v>298</v>
      </c>
      <c r="F47" s="80" t="s">
        <v>324</v>
      </c>
    </row>
    <row r="48" spans="1:6" ht="52" x14ac:dyDescent="0.35">
      <c r="A48" s="75" t="s">
        <v>1846</v>
      </c>
      <c r="B48" s="76" t="s">
        <v>1847</v>
      </c>
      <c r="C48" s="77" t="s">
        <v>1843</v>
      </c>
      <c r="D48" s="78">
        <v>1</v>
      </c>
      <c r="E48" s="79" t="s">
        <v>298</v>
      </c>
      <c r="F48" s="80" t="s">
        <v>324</v>
      </c>
    </row>
    <row r="49" spans="1:6" ht="52" x14ac:dyDescent="0.35">
      <c r="A49" s="75" t="s">
        <v>1848</v>
      </c>
      <c r="B49" s="76" t="s">
        <v>1849</v>
      </c>
      <c r="C49" s="77" t="s">
        <v>1843</v>
      </c>
      <c r="D49" s="78">
        <v>1</v>
      </c>
      <c r="E49" s="79" t="s">
        <v>298</v>
      </c>
      <c r="F49" s="80" t="s">
        <v>324</v>
      </c>
    </row>
    <row r="50" spans="1:6" ht="39" x14ac:dyDescent="0.35">
      <c r="A50" s="75" t="s">
        <v>1850</v>
      </c>
      <c r="B50" s="76" t="s">
        <v>1851</v>
      </c>
      <c r="C50" s="77" t="s">
        <v>1843</v>
      </c>
      <c r="D50" s="78">
        <v>1</v>
      </c>
      <c r="E50" s="79" t="s">
        <v>298</v>
      </c>
      <c r="F50" s="80" t="s">
        <v>324</v>
      </c>
    </row>
    <row r="51" spans="1:6" ht="65" x14ac:dyDescent="0.35">
      <c r="A51" s="75" t="s">
        <v>1852</v>
      </c>
      <c r="B51" s="76" t="s">
        <v>1853</v>
      </c>
      <c r="C51" s="77" t="s">
        <v>1843</v>
      </c>
      <c r="D51" s="78">
        <v>4.5</v>
      </c>
      <c r="E51" s="79" t="s">
        <v>298</v>
      </c>
      <c r="F51" s="80" t="s">
        <v>324</v>
      </c>
    </row>
    <row r="52" spans="1:6" ht="65" x14ac:dyDescent="0.35">
      <c r="A52" s="75" t="s">
        <v>1854</v>
      </c>
      <c r="B52" s="76" t="s">
        <v>1855</v>
      </c>
      <c r="C52" s="77" t="s">
        <v>1843</v>
      </c>
      <c r="D52" s="78">
        <v>0.5</v>
      </c>
      <c r="E52" s="79" t="s">
        <v>298</v>
      </c>
      <c r="F52" s="80" t="s">
        <v>324</v>
      </c>
    </row>
    <row r="53" spans="1:6" ht="26" x14ac:dyDescent="0.35">
      <c r="A53" s="75" t="s">
        <v>1856</v>
      </c>
      <c r="B53" s="76" t="s">
        <v>1857</v>
      </c>
      <c r="C53" s="77" t="s">
        <v>1843</v>
      </c>
      <c r="D53" s="78">
        <v>3</v>
      </c>
      <c r="E53" s="79" t="s">
        <v>298</v>
      </c>
      <c r="F53" s="80" t="s">
        <v>324</v>
      </c>
    </row>
    <row r="54" spans="1:6" ht="39" x14ac:dyDescent="0.35">
      <c r="A54" s="75" t="s">
        <v>1858</v>
      </c>
      <c r="B54" s="76" t="s">
        <v>1767</v>
      </c>
      <c r="C54" s="77" t="s">
        <v>1843</v>
      </c>
      <c r="D54" s="78">
        <v>1</v>
      </c>
      <c r="E54" s="79" t="s">
        <v>298</v>
      </c>
      <c r="F54" s="80" t="s">
        <v>324</v>
      </c>
    </row>
    <row r="55" spans="1:6" ht="52" x14ac:dyDescent="0.35">
      <c r="A55" s="75" t="s">
        <v>359</v>
      </c>
      <c r="B55" s="76" t="s">
        <v>360</v>
      </c>
      <c r="C55" s="77" t="s">
        <v>354</v>
      </c>
      <c r="D55" s="78">
        <v>1.5</v>
      </c>
      <c r="E55" s="79" t="s">
        <v>298</v>
      </c>
      <c r="F55" s="80" t="s">
        <v>324</v>
      </c>
    </row>
    <row r="56" spans="1:6" ht="78" x14ac:dyDescent="0.35">
      <c r="A56" s="75" t="s">
        <v>1859</v>
      </c>
      <c r="B56" s="76" t="s">
        <v>1860</v>
      </c>
      <c r="C56" s="77" t="s">
        <v>1861</v>
      </c>
      <c r="D56" s="78">
        <v>0.75</v>
      </c>
      <c r="E56" s="79" t="s">
        <v>298</v>
      </c>
      <c r="F56" s="80" t="s">
        <v>324</v>
      </c>
    </row>
    <row r="57" spans="1:6" ht="26" x14ac:dyDescent="0.35">
      <c r="A57" s="75" t="s">
        <v>1862</v>
      </c>
      <c r="B57" s="76" t="s">
        <v>1863</v>
      </c>
      <c r="C57" s="77" t="s">
        <v>1861</v>
      </c>
      <c r="D57" s="78">
        <v>0.25</v>
      </c>
      <c r="E57" s="79" t="s">
        <v>298</v>
      </c>
      <c r="F57" s="80" t="s">
        <v>324</v>
      </c>
    </row>
    <row r="58" spans="1:6" ht="65" x14ac:dyDescent="0.35">
      <c r="A58" s="75" t="s">
        <v>1864</v>
      </c>
      <c r="B58" s="76" t="s">
        <v>1865</v>
      </c>
      <c r="C58" s="77" t="s">
        <v>1861</v>
      </c>
      <c r="D58" s="78">
        <v>1.5</v>
      </c>
      <c r="E58" s="79" t="s">
        <v>298</v>
      </c>
      <c r="F58" s="80" t="s">
        <v>324</v>
      </c>
    </row>
    <row r="59" spans="1:6" ht="65" x14ac:dyDescent="0.35">
      <c r="A59" s="75" t="s">
        <v>1866</v>
      </c>
      <c r="B59" s="76" t="s">
        <v>1867</v>
      </c>
      <c r="C59" s="77" t="s">
        <v>1868</v>
      </c>
      <c r="D59" s="78">
        <v>4.5</v>
      </c>
      <c r="E59" s="79" t="s">
        <v>1869</v>
      </c>
      <c r="F59" s="80" t="s">
        <v>324</v>
      </c>
    </row>
    <row r="60" spans="1:6" ht="65" x14ac:dyDescent="0.35">
      <c r="A60" s="75" t="s">
        <v>1870</v>
      </c>
      <c r="B60" s="76" t="s">
        <v>1871</v>
      </c>
      <c r="C60" s="77" t="s">
        <v>1868</v>
      </c>
      <c r="D60" s="78">
        <v>4</v>
      </c>
      <c r="E60" s="79" t="s">
        <v>1869</v>
      </c>
      <c r="F60" s="80" t="s">
        <v>324</v>
      </c>
    </row>
    <row r="61" spans="1:6" ht="78" x14ac:dyDescent="0.35">
      <c r="A61" s="75" t="s">
        <v>1872</v>
      </c>
      <c r="B61" s="76" t="s">
        <v>1873</v>
      </c>
      <c r="C61" s="77" t="s">
        <v>1868</v>
      </c>
      <c r="D61" s="78">
        <v>4.5</v>
      </c>
      <c r="E61" s="79" t="s">
        <v>1869</v>
      </c>
      <c r="F61" s="80" t="s">
        <v>324</v>
      </c>
    </row>
    <row r="62" spans="1:6" ht="91" x14ac:dyDescent="0.35">
      <c r="A62" s="75" t="s">
        <v>1874</v>
      </c>
      <c r="B62" s="76" t="s">
        <v>1875</v>
      </c>
      <c r="C62" s="77" t="s">
        <v>1868</v>
      </c>
      <c r="D62" s="78">
        <v>6</v>
      </c>
      <c r="E62" s="79" t="s">
        <v>1869</v>
      </c>
      <c r="F62" s="80" t="s">
        <v>324</v>
      </c>
    </row>
    <row r="63" spans="1:6" ht="39" x14ac:dyDescent="0.35">
      <c r="A63" s="75" t="s">
        <v>1876</v>
      </c>
      <c r="B63" s="76" t="s">
        <v>1877</v>
      </c>
      <c r="C63" s="77" t="s">
        <v>1868</v>
      </c>
      <c r="D63" s="78">
        <v>1.5</v>
      </c>
      <c r="E63" s="79" t="s">
        <v>1869</v>
      </c>
      <c r="F63" s="80" t="s">
        <v>324</v>
      </c>
    </row>
    <row r="64" spans="1:6" ht="65" x14ac:dyDescent="0.35">
      <c r="A64" s="75" t="s">
        <v>1878</v>
      </c>
      <c r="B64" s="76" t="s">
        <v>1879</v>
      </c>
      <c r="C64" s="77" t="s">
        <v>1868</v>
      </c>
      <c r="D64" s="78">
        <v>2</v>
      </c>
      <c r="E64" s="79" t="s">
        <v>334</v>
      </c>
      <c r="F64" s="80" t="s">
        <v>324</v>
      </c>
    </row>
    <row r="65" spans="1:6" ht="65" x14ac:dyDescent="0.35">
      <c r="A65" s="75" t="s">
        <v>1880</v>
      </c>
      <c r="B65" s="76" t="s">
        <v>1881</v>
      </c>
      <c r="C65" s="77" t="s">
        <v>1868</v>
      </c>
      <c r="D65" s="78">
        <v>6.25</v>
      </c>
      <c r="E65" s="79" t="s">
        <v>1869</v>
      </c>
      <c r="F65" s="80" t="s">
        <v>324</v>
      </c>
    </row>
    <row r="66" spans="1:6" ht="78" x14ac:dyDescent="0.35">
      <c r="A66" s="75" t="s">
        <v>1882</v>
      </c>
      <c r="B66" s="76" t="s">
        <v>1883</v>
      </c>
      <c r="C66" s="77" t="s">
        <v>1868</v>
      </c>
      <c r="D66" s="78">
        <v>3</v>
      </c>
      <c r="E66" s="79" t="s">
        <v>334</v>
      </c>
      <c r="F66" s="80" t="s">
        <v>324</v>
      </c>
    </row>
    <row r="67" spans="1:6" ht="65" x14ac:dyDescent="0.35">
      <c r="A67" s="75" t="s">
        <v>1884</v>
      </c>
      <c r="B67" s="76" t="s">
        <v>1885</v>
      </c>
      <c r="C67" s="77" t="s">
        <v>1886</v>
      </c>
      <c r="D67" s="78">
        <v>2</v>
      </c>
      <c r="E67" s="79" t="s">
        <v>1887</v>
      </c>
      <c r="F67" s="80" t="s">
        <v>324</v>
      </c>
    </row>
    <row r="68" spans="1:6" ht="65" x14ac:dyDescent="0.35">
      <c r="A68" s="75" t="s">
        <v>1888</v>
      </c>
      <c r="B68" s="76" t="s">
        <v>1889</v>
      </c>
      <c r="C68" s="77" t="s">
        <v>1886</v>
      </c>
      <c r="D68" s="78">
        <v>4</v>
      </c>
      <c r="E68" s="79" t="s">
        <v>1887</v>
      </c>
      <c r="F68" s="80" t="s">
        <v>324</v>
      </c>
    </row>
    <row r="69" spans="1:6" ht="52" x14ac:dyDescent="0.35">
      <c r="A69" s="75" t="s">
        <v>1890</v>
      </c>
      <c r="B69" s="76" t="s">
        <v>1891</v>
      </c>
      <c r="C69" s="77" t="s">
        <v>1886</v>
      </c>
      <c r="D69" s="78">
        <v>1.5</v>
      </c>
      <c r="E69" s="79" t="s">
        <v>1887</v>
      </c>
      <c r="F69" s="80" t="s">
        <v>324</v>
      </c>
    </row>
    <row r="70" spans="1:6" ht="78" x14ac:dyDescent="0.35">
      <c r="A70" s="75" t="s">
        <v>313</v>
      </c>
      <c r="B70" s="76" t="s">
        <v>314</v>
      </c>
      <c r="C70" s="81" t="s">
        <v>294</v>
      </c>
      <c r="D70" s="78">
        <v>1</v>
      </c>
      <c r="E70" s="79" t="s">
        <v>298</v>
      </c>
      <c r="F70" s="80" t="s">
        <v>315</v>
      </c>
    </row>
    <row r="71" spans="1:6" ht="130" x14ac:dyDescent="0.35">
      <c r="A71" s="75" t="s">
        <v>316</v>
      </c>
      <c r="B71" s="76" t="s">
        <v>317</v>
      </c>
      <c r="C71" s="81" t="s">
        <v>294</v>
      </c>
      <c r="D71" s="78">
        <v>2.5</v>
      </c>
      <c r="E71" s="79" t="s">
        <v>298</v>
      </c>
      <c r="F71" s="80" t="s">
        <v>315</v>
      </c>
    </row>
    <row r="72" spans="1:6" ht="65" x14ac:dyDescent="0.35">
      <c r="A72" s="75" t="s">
        <v>378</v>
      </c>
      <c r="B72" s="76" t="s">
        <v>379</v>
      </c>
      <c r="C72" s="81" t="s">
        <v>363</v>
      </c>
      <c r="D72" s="78">
        <v>1.5</v>
      </c>
      <c r="E72" s="79" t="s">
        <v>298</v>
      </c>
      <c r="F72" s="80" t="s">
        <v>315</v>
      </c>
    </row>
    <row r="73" spans="1:6" ht="78" x14ac:dyDescent="0.35">
      <c r="A73" s="75" t="s">
        <v>384</v>
      </c>
      <c r="B73" s="76" t="s">
        <v>385</v>
      </c>
      <c r="C73" s="81" t="s">
        <v>363</v>
      </c>
      <c r="D73" s="78">
        <v>4</v>
      </c>
      <c r="E73" s="79" t="s">
        <v>298</v>
      </c>
      <c r="F73" s="80" t="s">
        <v>315</v>
      </c>
    </row>
    <row r="74" spans="1:6" ht="65" x14ac:dyDescent="0.35">
      <c r="A74" s="75" t="s">
        <v>396</v>
      </c>
      <c r="B74" s="76" t="s">
        <v>397</v>
      </c>
      <c r="C74" s="81" t="s">
        <v>363</v>
      </c>
      <c r="D74" s="78">
        <v>2.5</v>
      </c>
      <c r="E74" s="79" t="s">
        <v>298</v>
      </c>
      <c r="F74" s="80" t="s">
        <v>315</v>
      </c>
    </row>
    <row r="75" spans="1:6" ht="65" x14ac:dyDescent="0.35">
      <c r="A75" s="75" t="s">
        <v>1892</v>
      </c>
      <c r="B75" s="76" t="s">
        <v>1893</v>
      </c>
      <c r="C75" s="81" t="s">
        <v>1861</v>
      </c>
      <c r="D75" s="78">
        <v>2</v>
      </c>
      <c r="E75" s="79" t="s">
        <v>298</v>
      </c>
      <c r="F75" s="80" t="s">
        <v>315</v>
      </c>
    </row>
    <row r="76" spans="1:6" ht="65" x14ac:dyDescent="0.35">
      <c r="A76" s="75" t="s">
        <v>1894</v>
      </c>
      <c r="B76" s="76" t="s">
        <v>1895</v>
      </c>
      <c r="C76" s="81" t="s">
        <v>1861</v>
      </c>
      <c r="D76" s="78">
        <v>7.5</v>
      </c>
      <c r="E76" s="79" t="s">
        <v>298</v>
      </c>
      <c r="F76" s="80" t="s">
        <v>315</v>
      </c>
    </row>
    <row r="77" spans="1:6" ht="78" x14ac:dyDescent="0.35">
      <c r="A77" s="75" t="s">
        <v>1896</v>
      </c>
      <c r="B77" s="76" t="s">
        <v>1897</v>
      </c>
      <c r="C77" s="81" t="s">
        <v>1898</v>
      </c>
      <c r="D77" s="78">
        <v>2.5</v>
      </c>
      <c r="E77" s="79" t="s">
        <v>298</v>
      </c>
      <c r="F77" s="80" t="s">
        <v>315</v>
      </c>
    </row>
    <row r="78" spans="1:6" ht="52" x14ac:dyDescent="0.35">
      <c r="A78" s="75" t="s">
        <v>1899</v>
      </c>
      <c r="B78" s="76" t="s">
        <v>1900</v>
      </c>
      <c r="C78" s="81" t="s">
        <v>1898</v>
      </c>
      <c r="D78" s="78">
        <v>5</v>
      </c>
      <c r="E78" s="79" t="s">
        <v>298</v>
      </c>
      <c r="F78" s="80" t="s">
        <v>315</v>
      </c>
    </row>
    <row r="79" spans="1:6" ht="78" x14ac:dyDescent="0.35">
      <c r="A79" s="75" t="s">
        <v>1901</v>
      </c>
      <c r="B79" s="76" t="s">
        <v>1902</v>
      </c>
      <c r="C79" s="81" t="s">
        <v>1903</v>
      </c>
      <c r="D79" s="78">
        <v>5</v>
      </c>
      <c r="E79" s="79" t="s">
        <v>357</v>
      </c>
      <c r="F79" s="80" t="s">
        <v>315</v>
      </c>
    </row>
    <row r="80" spans="1:6" ht="91" x14ac:dyDescent="0.35">
      <c r="A80" s="75" t="s">
        <v>1904</v>
      </c>
      <c r="B80" s="76" t="s">
        <v>1905</v>
      </c>
      <c r="C80" s="81" t="s">
        <v>1906</v>
      </c>
      <c r="D80" s="78">
        <v>4.5</v>
      </c>
      <c r="E80" s="79" t="s">
        <v>1887</v>
      </c>
      <c r="F80" s="80" t="s">
        <v>315</v>
      </c>
    </row>
    <row r="81" spans="1:6" ht="65" x14ac:dyDescent="0.35">
      <c r="A81" s="75" t="s">
        <v>1907</v>
      </c>
      <c r="B81" s="76" t="s">
        <v>1908</v>
      </c>
      <c r="C81" s="81" t="s">
        <v>1906</v>
      </c>
      <c r="D81" s="78">
        <v>0.75</v>
      </c>
      <c r="E81" s="79" t="s">
        <v>1887</v>
      </c>
      <c r="F81" s="80" t="s">
        <v>315</v>
      </c>
    </row>
    <row r="82" spans="1:6" ht="91" x14ac:dyDescent="0.35">
      <c r="A82" s="75" t="s">
        <v>1909</v>
      </c>
      <c r="B82" s="76" t="s">
        <v>1910</v>
      </c>
      <c r="C82" s="81" t="s">
        <v>1868</v>
      </c>
      <c r="D82" s="78">
        <v>5</v>
      </c>
      <c r="E82" s="79" t="s">
        <v>357</v>
      </c>
      <c r="F82" s="80" t="s">
        <v>315</v>
      </c>
    </row>
    <row r="83" spans="1:6" ht="65" x14ac:dyDescent="0.35">
      <c r="A83" s="75" t="s">
        <v>398</v>
      </c>
      <c r="B83" s="76" t="s">
        <v>1911</v>
      </c>
      <c r="C83" s="82" t="s">
        <v>363</v>
      </c>
      <c r="D83" s="78">
        <v>0.5</v>
      </c>
      <c r="E83" s="79" t="s">
        <v>357</v>
      </c>
      <c r="F83" s="80" t="s">
        <v>358</v>
      </c>
    </row>
    <row r="84" spans="1:6" ht="78" x14ac:dyDescent="0.35">
      <c r="A84" s="75" t="s">
        <v>353</v>
      </c>
      <c r="B84" s="76" t="s">
        <v>355</v>
      </c>
      <c r="C84" s="82" t="s">
        <v>354</v>
      </c>
      <c r="D84" s="78">
        <v>3.5</v>
      </c>
      <c r="E84" s="79" t="s">
        <v>357</v>
      </c>
      <c r="F84" s="80" t="s">
        <v>358</v>
      </c>
    </row>
    <row r="85" spans="1:6" ht="52" x14ac:dyDescent="0.35">
      <c r="A85" s="75" t="s">
        <v>1912</v>
      </c>
      <c r="B85" s="76" t="s">
        <v>1913</v>
      </c>
      <c r="C85" s="82" t="s">
        <v>1861</v>
      </c>
      <c r="D85" s="78">
        <v>2</v>
      </c>
      <c r="E85" s="79" t="s">
        <v>298</v>
      </c>
      <c r="F85" s="80" t="s">
        <v>358</v>
      </c>
    </row>
    <row r="86" spans="1:6" ht="52" x14ac:dyDescent="0.35">
      <c r="A86" s="75" t="s">
        <v>1914</v>
      </c>
      <c r="B86" s="76" t="s">
        <v>1915</v>
      </c>
      <c r="C86" s="82" t="s">
        <v>1861</v>
      </c>
      <c r="D86" s="78">
        <v>3</v>
      </c>
      <c r="E86" s="79" t="s">
        <v>298</v>
      </c>
      <c r="F86" s="80" t="s">
        <v>358</v>
      </c>
    </row>
    <row r="87" spans="1:6" ht="39" x14ac:dyDescent="0.35">
      <c r="A87" s="75" t="s">
        <v>1916</v>
      </c>
      <c r="B87" s="76" t="s">
        <v>1917</v>
      </c>
      <c r="C87" s="82" t="s">
        <v>1861</v>
      </c>
      <c r="D87" s="78">
        <v>1.5</v>
      </c>
      <c r="E87" s="79" t="s">
        <v>298</v>
      </c>
      <c r="F87" s="80" t="s">
        <v>358</v>
      </c>
    </row>
    <row r="88" spans="1:6" ht="39" x14ac:dyDescent="0.35">
      <c r="A88" s="75" t="s">
        <v>1918</v>
      </c>
      <c r="B88" s="76" t="s">
        <v>1919</v>
      </c>
      <c r="C88" s="82" t="s">
        <v>1861</v>
      </c>
      <c r="D88" s="78">
        <v>2</v>
      </c>
      <c r="E88" s="79" t="s">
        <v>298</v>
      </c>
      <c r="F88" s="80" t="s">
        <v>358</v>
      </c>
    </row>
    <row r="89" spans="1:6" ht="39" x14ac:dyDescent="0.35">
      <c r="A89" s="75" t="s">
        <v>1920</v>
      </c>
      <c r="B89" s="76" t="s">
        <v>1921</v>
      </c>
      <c r="C89" s="82" t="s">
        <v>1861</v>
      </c>
      <c r="D89" s="78">
        <v>2.5</v>
      </c>
      <c r="E89" s="79" t="s">
        <v>298</v>
      </c>
      <c r="F89" s="80" t="s">
        <v>358</v>
      </c>
    </row>
    <row r="90" spans="1:6" ht="91" x14ac:dyDescent="0.35">
      <c r="A90" s="75" t="s">
        <v>1922</v>
      </c>
      <c r="B90" s="76" t="s">
        <v>1923</v>
      </c>
      <c r="C90" s="82" t="s">
        <v>1861</v>
      </c>
      <c r="D90" s="78">
        <v>2</v>
      </c>
      <c r="E90" s="79" t="s">
        <v>298</v>
      </c>
      <c r="F90" s="80" t="s">
        <v>358</v>
      </c>
    </row>
    <row r="91" spans="1:6" ht="104" x14ac:dyDescent="0.35">
      <c r="A91" s="75" t="s">
        <v>1924</v>
      </c>
      <c r="B91" s="76" t="s">
        <v>1925</v>
      </c>
      <c r="C91" s="82" t="s">
        <v>1861</v>
      </c>
      <c r="D91" s="78">
        <v>0.75</v>
      </c>
      <c r="E91" s="79" t="s">
        <v>298</v>
      </c>
      <c r="F91" s="80" t="s">
        <v>358</v>
      </c>
    </row>
    <row r="92" spans="1:6" ht="65" x14ac:dyDescent="0.35">
      <c r="A92" s="75" t="s">
        <v>345</v>
      </c>
      <c r="B92" s="76" t="s">
        <v>346</v>
      </c>
      <c r="C92" s="83" t="s">
        <v>294</v>
      </c>
      <c r="D92" s="78">
        <v>1</v>
      </c>
      <c r="E92" s="79" t="s">
        <v>298</v>
      </c>
      <c r="F92" s="80" t="s">
        <v>342</v>
      </c>
    </row>
    <row r="93" spans="1:6" ht="65" x14ac:dyDescent="0.35">
      <c r="A93" s="75" t="s">
        <v>351</v>
      </c>
      <c r="B93" s="76" t="s">
        <v>352</v>
      </c>
      <c r="C93" s="83" t="s">
        <v>294</v>
      </c>
      <c r="D93" s="78">
        <v>1.5</v>
      </c>
      <c r="E93" s="79" t="s">
        <v>334</v>
      </c>
      <c r="F93" s="80" t="s">
        <v>342</v>
      </c>
    </row>
    <row r="94" spans="1:6" ht="39" x14ac:dyDescent="0.35">
      <c r="A94" s="75" t="s">
        <v>340</v>
      </c>
      <c r="B94" s="76" t="s">
        <v>341</v>
      </c>
      <c r="C94" s="83" t="s">
        <v>294</v>
      </c>
      <c r="D94" s="78">
        <v>0.5</v>
      </c>
      <c r="E94" s="79" t="s">
        <v>298</v>
      </c>
      <c r="F94" s="80" t="s">
        <v>342</v>
      </c>
    </row>
    <row r="95" spans="1:6" ht="65" x14ac:dyDescent="0.35">
      <c r="A95" s="75" t="s">
        <v>1926</v>
      </c>
      <c r="B95" s="76" t="s">
        <v>1927</v>
      </c>
      <c r="C95" s="84" t="s">
        <v>1861</v>
      </c>
      <c r="D95" s="78">
        <v>3</v>
      </c>
      <c r="E95" s="79" t="s">
        <v>334</v>
      </c>
      <c r="F95" s="80" t="s">
        <v>1928</v>
      </c>
    </row>
    <row r="96" spans="1:6" ht="26" x14ac:dyDescent="0.35">
      <c r="A96" s="75" t="s">
        <v>1929</v>
      </c>
      <c r="B96" s="76" t="s">
        <v>1930</v>
      </c>
      <c r="C96" s="84" t="s">
        <v>1931</v>
      </c>
      <c r="D96" s="78">
        <v>6</v>
      </c>
      <c r="E96" s="79" t="s">
        <v>334</v>
      </c>
      <c r="F96" s="80" t="s">
        <v>1928</v>
      </c>
    </row>
    <row r="97" spans="1:6" ht="65" x14ac:dyDescent="0.35">
      <c r="A97" s="75" t="s">
        <v>1932</v>
      </c>
      <c r="B97" s="76" t="s">
        <v>1933</v>
      </c>
      <c r="C97" s="84" t="s">
        <v>1931</v>
      </c>
      <c r="D97" s="78">
        <v>6</v>
      </c>
      <c r="E97" s="79" t="s">
        <v>334</v>
      </c>
      <c r="F97" s="80" t="s">
        <v>1928</v>
      </c>
    </row>
    <row r="98" spans="1:6" ht="52" x14ac:dyDescent="0.35">
      <c r="A98" s="75" t="s">
        <v>292</v>
      </c>
      <c r="B98" s="76" t="s">
        <v>295</v>
      </c>
      <c r="C98" s="85" t="s">
        <v>294</v>
      </c>
      <c r="D98" s="78">
        <v>0.5</v>
      </c>
      <c r="E98" s="79" t="s">
        <v>298</v>
      </c>
      <c r="F98" s="80" t="s">
        <v>299</v>
      </c>
    </row>
    <row r="99" spans="1:6" ht="65" x14ac:dyDescent="0.35">
      <c r="A99" s="75" t="s">
        <v>311</v>
      </c>
      <c r="B99" s="76" t="s">
        <v>312</v>
      </c>
      <c r="C99" s="85" t="s">
        <v>294</v>
      </c>
      <c r="D99" s="78">
        <v>0.25</v>
      </c>
      <c r="E99" s="79" t="s">
        <v>298</v>
      </c>
      <c r="F99" s="80" t="s">
        <v>299</v>
      </c>
    </row>
    <row r="100" spans="1:6" ht="52" x14ac:dyDescent="0.35">
      <c r="A100" s="75" t="s">
        <v>343</v>
      </c>
      <c r="B100" s="76" t="s">
        <v>344</v>
      </c>
      <c r="C100" s="85" t="s">
        <v>294</v>
      </c>
      <c r="D100" s="78">
        <v>1</v>
      </c>
      <c r="E100" s="79" t="s">
        <v>298</v>
      </c>
      <c r="F100" s="80" t="s">
        <v>299</v>
      </c>
    </row>
    <row r="101" spans="1:6" ht="65" x14ac:dyDescent="0.35">
      <c r="A101" s="75" t="s">
        <v>347</v>
      </c>
      <c r="B101" s="76" t="s">
        <v>348</v>
      </c>
      <c r="C101" s="85" t="s">
        <v>294</v>
      </c>
      <c r="D101" s="78">
        <v>0.5</v>
      </c>
      <c r="E101" s="79" t="s">
        <v>298</v>
      </c>
      <c r="F101" s="80" t="s">
        <v>299</v>
      </c>
    </row>
    <row r="102" spans="1:6" ht="52" x14ac:dyDescent="0.35">
      <c r="A102" s="75" t="s">
        <v>349</v>
      </c>
      <c r="B102" s="76" t="s">
        <v>350</v>
      </c>
      <c r="C102" s="85" t="s">
        <v>294</v>
      </c>
      <c r="D102" s="78">
        <v>0.5</v>
      </c>
      <c r="E102" s="79" t="s">
        <v>298</v>
      </c>
      <c r="F102" s="80" t="s">
        <v>299</v>
      </c>
    </row>
    <row r="103" spans="1:6" ht="65" x14ac:dyDescent="0.35">
      <c r="A103" s="75" t="s">
        <v>327</v>
      </c>
      <c r="B103" s="76" t="s">
        <v>328</v>
      </c>
      <c r="C103" s="85" t="s">
        <v>294</v>
      </c>
      <c r="D103" s="78">
        <v>0.75</v>
      </c>
      <c r="E103" s="79" t="s">
        <v>298</v>
      </c>
      <c r="F103" s="80" t="s">
        <v>299</v>
      </c>
    </row>
    <row r="104" spans="1:6" ht="78" x14ac:dyDescent="0.35">
      <c r="A104" s="75" t="s">
        <v>306</v>
      </c>
      <c r="B104" s="76" t="s">
        <v>307</v>
      </c>
      <c r="C104" s="85" t="s">
        <v>294</v>
      </c>
      <c r="D104" s="78">
        <v>0.5</v>
      </c>
      <c r="E104" s="79" t="s">
        <v>298</v>
      </c>
      <c r="F104" s="80" t="s">
        <v>299</v>
      </c>
    </row>
    <row r="105" spans="1:6" ht="91" x14ac:dyDescent="0.35">
      <c r="A105" s="75" t="s">
        <v>308</v>
      </c>
      <c r="B105" s="76" t="s">
        <v>309</v>
      </c>
      <c r="C105" s="85" t="s">
        <v>294</v>
      </c>
      <c r="D105" s="78">
        <v>1</v>
      </c>
      <c r="E105" s="79" t="s">
        <v>298</v>
      </c>
      <c r="F105" s="80" t="s">
        <v>299</v>
      </c>
    </row>
    <row r="106" spans="1:6" ht="91" x14ac:dyDescent="0.35">
      <c r="A106" s="75" t="s">
        <v>304</v>
      </c>
      <c r="B106" s="76" t="s">
        <v>305</v>
      </c>
      <c r="C106" s="85" t="s">
        <v>294</v>
      </c>
      <c r="D106" s="78">
        <v>0.5</v>
      </c>
      <c r="E106" s="79" t="s">
        <v>298</v>
      </c>
      <c r="F106" s="80" t="s">
        <v>299</v>
      </c>
    </row>
    <row r="107" spans="1:6" ht="39" x14ac:dyDescent="0.35">
      <c r="A107" s="75" t="s">
        <v>297</v>
      </c>
      <c r="B107" s="76" t="s">
        <v>302</v>
      </c>
      <c r="C107" s="85" t="s">
        <v>294</v>
      </c>
      <c r="D107" s="78">
        <v>0.25</v>
      </c>
      <c r="E107" s="79" t="s">
        <v>298</v>
      </c>
      <c r="F107" s="80" t="s">
        <v>299</v>
      </c>
    </row>
    <row r="108" spans="1:6" ht="26" x14ac:dyDescent="0.35">
      <c r="A108" s="75" t="s">
        <v>319</v>
      </c>
      <c r="B108" s="76" t="s">
        <v>320</v>
      </c>
      <c r="C108" s="85" t="s">
        <v>294</v>
      </c>
      <c r="D108" s="78">
        <v>0.25</v>
      </c>
      <c r="E108" s="79" t="s">
        <v>298</v>
      </c>
      <c r="F108" s="80" t="s">
        <v>299</v>
      </c>
    </row>
    <row r="109" spans="1:6" ht="78" x14ac:dyDescent="0.35">
      <c r="A109" s="75" t="s">
        <v>361</v>
      </c>
      <c r="B109" s="76" t="s">
        <v>364</v>
      </c>
      <c r="C109" s="85" t="s">
        <v>363</v>
      </c>
      <c r="D109" s="78">
        <v>7.25</v>
      </c>
      <c r="E109" s="79" t="s">
        <v>298</v>
      </c>
      <c r="F109" s="80" t="s">
        <v>299</v>
      </c>
    </row>
    <row r="110" spans="1:6" ht="130" x14ac:dyDescent="0.35">
      <c r="A110" s="75" t="s">
        <v>375</v>
      </c>
      <c r="B110" s="76" t="s">
        <v>376</v>
      </c>
      <c r="C110" s="85" t="s">
        <v>363</v>
      </c>
      <c r="D110" s="78">
        <v>15</v>
      </c>
      <c r="E110" s="79" t="s">
        <v>298</v>
      </c>
      <c r="F110" s="80" t="s">
        <v>299</v>
      </c>
    </row>
    <row r="111" spans="1:6" ht="78" x14ac:dyDescent="0.35">
      <c r="A111" s="75" t="s">
        <v>380</v>
      </c>
      <c r="B111" s="76" t="s">
        <v>381</v>
      </c>
      <c r="C111" s="85" t="s">
        <v>363</v>
      </c>
      <c r="D111" s="78">
        <v>2</v>
      </c>
      <c r="E111" s="79" t="s">
        <v>357</v>
      </c>
      <c r="F111" s="80" t="s">
        <v>299</v>
      </c>
    </row>
    <row r="112" spans="1:6" ht="91" x14ac:dyDescent="0.35">
      <c r="A112" s="75" t="s">
        <v>382</v>
      </c>
      <c r="B112" s="76" t="s">
        <v>383</v>
      </c>
      <c r="C112" s="85" t="s">
        <v>363</v>
      </c>
      <c r="D112" s="78">
        <v>0.5</v>
      </c>
      <c r="E112" s="79" t="s">
        <v>298</v>
      </c>
      <c r="F112" s="80" t="s">
        <v>299</v>
      </c>
    </row>
    <row r="113" spans="1:6" ht="26" x14ac:dyDescent="0.35">
      <c r="A113" s="75" t="s">
        <v>387</v>
      </c>
      <c r="B113" s="76" t="s">
        <v>388</v>
      </c>
      <c r="C113" s="85" t="s">
        <v>363</v>
      </c>
      <c r="D113" s="78">
        <v>1</v>
      </c>
      <c r="E113" s="79" t="s">
        <v>298</v>
      </c>
      <c r="F113" s="80" t="s">
        <v>299</v>
      </c>
    </row>
    <row r="114" spans="1:6" ht="78" x14ac:dyDescent="0.35">
      <c r="A114" s="75" t="s">
        <v>392</v>
      </c>
      <c r="B114" s="76" t="s">
        <v>393</v>
      </c>
      <c r="C114" s="85" t="s">
        <v>363</v>
      </c>
      <c r="D114" s="78">
        <v>1.5</v>
      </c>
      <c r="E114" s="79" t="s">
        <v>298</v>
      </c>
      <c r="F114" s="80" t="s">
        <v>299</v>
      </c>
    </row>
    <row r="115" spans="1:6" ht="78" x14ac:dyDescent="0.35">
      <c r="A115" s="75" t="s">
        <v>394</v>
      </c>
      <c r="B115" s="76" t="s">
        <v>395</v>
      </c>
      <c r="C115" s="85" t="s">
        <v>363</v>
      </c>
      <c r="D115" s="78">
        <v>1.5</v>
      </c>
      <c r="E115" s="79" t="s">
        <v>298</v>
      </c>
      <c r="F115" s="80" t="s">
        <v>299</v>
      </c>
    </row>
    <row r="116" spans="1:6" ht="52" x14ac:dyDescent="0.35">
      <c r="A116" s="75" t="s">
        <v>400</v>
      </c>
      <c r="B116" s="76" t="s">
        <v>401</v>
      </c>
      <c r="C116" s="85" t="s">
        <v>363</v>
      </c>
      <c r="D116" s="78">
        <v>1</v>
      </c>
      <c r="E116" s="79" t="s">
        <v>298</v>
      </c>
      <c r="F116" s="80" t="s">
        <v>299</v>
      </c>
    </row>
    <row r="117" spans="1:6" ht="91" x14ac:dyDescent="0.35">
      <c r="A117" s="75" t="s">
        <v>402</v>
      </c>
      <c r="B117" s="76" t="s">
        <v>403</v>
      </c>
      <c r="C117" s="85" t="s">
        <v>363</v>
      </c>
      <c r="D117" s="78">
        <v>1.5</v>
      </c>
      <c r="E117" s="79" t="s">
        <v>298</v>
      </c>
      <c r="F117" s="80" t="s">
        <v>299</v>
      </c>
    </row>
    <row r="118" spans="1:6" ht="78" x14ac:dyDescent="0.35">
      <c r="A118" s="75" t="s">
        <v>404</v>
      </c>
      <c r="B118" s="76" t="s">
        <v>405</v>
      </c>
      <c r="C118" s="85" t="s">
        <v>363</v>
      </c>
      <c r="D118" s="78">
        <v>0.5</v>
      </c>
      <c r="E118" s="79" t="s">
        <v>357</v>
      </c>
      <c r="F118" s="80" t="s">
        <v>299</v>
      </c>
    </row>
    <row r="119" spans="1:6" ht="65" x14ac:dyDescent="0.35">
      <c r="A119" s="75" t="s">
        <v>406</v>
      </c>
      <c r="B119" s="76" t="s">
        <v>407</v>
      </c>
      <c r="C119" s="85" t="s">
        <v>363</v>
      </c>
      <c r="D119" s="78">
        <v>1</v>
      </c>
      <c r="E119" s="79" t="s">
        <v>298</v>
      </c>
      <c r="F119" s="80" t="s">
        <v>299</v>
      </c>
    </row>
    <row r="120" spans="1:6" ht="65" x14ac:dyDescent="0.35">
      <c r="A120" s="75" t="s">
        <v>408</v>
      </c>
      <c r="B120" s="76" t="s">
        <v>409</v>
      </c>
      <c r="C120" s="85" t="s">
        <v>363</v>
      </c>
      <c r="D120" s="78">
        <v>0.75</v>
      </c>
      <c r="E120" s="79" t="s">
        <v>298</v>
      </c>
      <c r="F120" s="80" t="s">
        <v>299</v>
      </c>
    </row>
    <row r="121" spans="1:6" ht="52" x14ac:dyDescent="0.35">
      <c r="A121" s="75" t="s">
        <v>367</v>
      </c>
      <c r="B121" s="76" t="s">
        <v>368</v>
      </c>
      <c r="C121" s="85" t="s">
        <v>363</v>
      </c>
      <c r="D121" s="78">
        <v>0.75</v>
      </c>
      <c r="E121" s="79" t="s">
        <v>298</v>
      </c>
      <c r="F121" s="80" t="s">
        <v>299</v>
      </c>
    </row>
    <row r="122" spans="1:6" ht="39" x14ac:dyDescent="0.35">
      <c r="A122" s="75" t="s">
        <v>369</v>
      </c>
      <c r="B122" s="76" t="s">
        <v>370</v>
      </c>
      <c r="C122" s="85" t="s">
        <v>363</v>
      </c>
      <c r="D122" s="78">
        <v>2</v>
      </c>
      <c r="E122" s="79" t="s">
        <v>298</v>
      </c>
      <c r="F122" s="80" t="s">
        <v>299</v>
      </c>
    </row>
    <row r="123" spans="1:6" ht="104" x14ac:dyDescent="0.35">
      <c r="A123" s="75" t="s">
        <v>372</v>
      </c>
      <c r="B123" s="76" t="s">
        <v>373</v>
      </c>
      <c r="C123" s="85" t="s">
        <v>363</v>
      </c>
      <c r="D123" s="78">
        <v>10.75</v>
      </c>
      <c r="E123" s="79" t="s">
        <v>298</v>
      </c>
      <c r="F123" s="80" t="s">
        <v>299</v>
      </c>
    </row>
    <row r="124" spans="1:6" ht="91" x14ac:dyDescent="0.35">
      <c r="A124" s="75" t="s">
        <v>1934</v>
      </c>
      <c r="B124" s="76" t="s">
        <v>1935</v>
      </c>
      <c r="C124" s="85" t="s">
        <v>1861</v>
      </c>
      <c r="D124" s="78">
        <v>2.5</v>
      </c>
      <c r="E124" s="79" t="s">
        <v>298</v>
      </c>
      <c r="F124" s="80" t="s">
        <v>299</v>
      </c>
    </row>
    <row r="125" spans="1:6" ht="52" x14ac:dyDescent="0.35">
      <c r="A125" s="75" t="s">
        <v>1936</v>
      </c>
      <c r="B125" s="76" t="s">
        <v>1937</v>
      </c>
      <c r="C125" s="85" t="s">
        <v>1861</v>
      </c>
      <c r="D125" s="78">
        <v>0.5</v>
      </c>
      <c r="E125" s="79" t="s">
        <v>357</v>
      </c>
      <c r="F125" s="80" t="s">
        <v>299</v>
      </c>
    </row>
    <row r="126" spans="1:6" ht="39" x14ac:dyDescent="0.35">
      <c r="A126" s="75" t="s">
        <v>1938</v>
      </c>
      <c r="B126" s="76" t="s">
        <v>1939</v>
      </c>
      <c r="C126" s="85" t="s">
        <v>1861</v>
      </c>
      <c r="D126" s="78">
        <v>1.5</v>
      </c>
      <c r="E126" s="79" t="s">
        <v>298</v>
      </c>
      <c r="F126" s="80" t="s">
        <v>299</v>
      </c>
    </row>
    <row r="127" spans="1:6" ht="52" x14ac:dyDescent="0.35">
      <c r="A127" s="75" t="s">
        <v>1940</v>
      </c>
      <c r="B127" s="76" t="s">
        <v>1941</v>
      </c>
      <c r="C127" s="85" t="s">
        <v>1861</v>
      </c>
      <c r="D127" s="78">
        <v>1.5</v>
      </c>
      <c r="E127" s="79" t="s">
        <v>298</v>
      </c>
      <c r="F127" s="80" t="s">
        <v>299</v>
      </c>
    </row>
    <row r="128" spans="1:6" ht="65" x14ac:dyDescent="0.35">
      <c r="A128" s="75" t="s">
        <v>1942</v>
      </c>
      <c r="B128" s="76" t="s">
        <v>1943</v>
      </c>
      <c r="C128" s="85" t="s">
        <v>1861</v>
      </c>
      <c r="D128" s="78">
        <v>1.5</v>
      </c>
      <c r="E128" s="79" t="s">
        <v>298</v>
      </c>
      <c r="F128" s="80" t="s">
        <v>299</v>
      </c>
    </row>
    <row r="129" spans="1:6" ht="52" x14ac:dyDescent="0.35">
      <c r="A129" s="75" t="s">
        <v>1944</v>
      </c>
      <c r="B129" s="76" t="s">
        <v>1945</v>
      </c>
      <c r="C129" s="85" t="s">
        <v>1861</v>
      </c>
      <c r="D129" s="78">
        <v>1</v>
      </c>
      <c r="E129" s="79" t="s">
        <v>298</v>
      </c>
      <c r="F129" s="80" t="s">
        <v>299</v>
      </c>
    </row>
    <row r="130" spans="1:6" ht="26" x14ac:dyDescent="0.35">
      <c r="A130" s="75" t="s">
        <v>1946</v>
      </c>
      <c r="B130" s="76" t="s">
        <v>1947</v>
      </c>
      <c r="C130" s="85" t="s">
        <v>1861</v>
      </c>
      <c r="D130" s="78">
        <v>0.25</v>
      </c>
      <c r="E130" s="79" t="s">
        <v>298</v>
      </c>
      <c r="F130" s="80" t="s">
        <v>299</v>
      </c>
    </row>
    <row r="131" spans="1:6" ht="52" x14ac:dyDescent="0.35">
      <c r="A131" s="75" t="s">
        <v>1948</v>
      </c>
      <c r="B131" s="76" t="s">
        <v>1949</v>
      </c>
      <c r="C131" s="85" t="s">
        <v>1861</v>
      </c>
      <c r="D131" s="78">
        <v>3</v>
      </c>
      <c r="E131" s="79" t="s">
        <v>298</v>
      </c>
      <c r="F131" s="80" t="s">
        <v>299</v>
      </c>
    </row>
    <row r="132" spans="1:6" ht="65" x14ac:dyDescent="0.35">
      <c r="A132" s="75" t="s">
        <v>1950</v>
      </c>
      <c r="B132" s="76" t="s">
        <v>1951</v>
      </c>
      <c r="C132" s="85" t="s">
        <v>1861</v>
      </c>
      <c r="D132" s="78">
        <v>2.5</v>
      </c>
      <c r="E132" s="79" t="s">
        <v>298</v>
      </c>
      <c r="F132" s="80" t="s">
        <v>299</v>
      </c>
    </row>
    <row r="133" spans="1:6" ht="78" x14ac:dyDescent="0.35">
      <c r="A133" s="75" t="s">
        <v>1952</v>
      </c>
      <c r="B133" s="76" t="s">
        <v>1953</v>
      </c>
      <c r="C133" s="85" t="s">
        <v>1954</v>
      </c>
      <c r="D133" s="78">
        <v>1.5</v>
      </c>
      <c r="E133" s="79" t="s">
        <v>357</v>
      </c>
      <c r="F133" s="80" t="s">
        <v>299</v>
      </c>
    </row>
    <row r="134" spans="1:6" ht="104" x14ac:dyDescent="0.35">
      <c r="A134" s="75" t="s">
        <v>1955</v>
      </c>
      <c r="B134" s="76" t="s">
        <v>1956</v>
      </c>
      <c r="C134" s="85" t="s">
        <v>1954</v>
      </c>
      <c r="D134" s="78">
        <v>2</v>
      </c>
      <c r="E134" s="79" t="s">
        <v>357</v>
      </c>
      <c r="F134" s="80" t="s">
        <v>299</v>
      </c>
    </row>
    <row r="135" spans="1:6" ht="52" x14ac:dyDescent="0.35">
      <c r="A135" s="75" t="s">
        <v>1957</v>
      </c>
      <c r="B135" s="76" t="s">
        <v>1958</v>
      </c>
      <c r="C135" s="85" t="s">
        <v>1954</v>
      </c>
      <c r="D135" s="78">
        <v>1.5</v>
      </c>
      <c r="E135" s="79" t="s">
        <v>357</v>
      </c>
      <c r="F135" s="80" t="s">
        <v>299</v>
      </c>
    </row>
    <row r="136" spans="1:6" ht="65" x14ac:dyDescent="0.35">
      <c r="A136" s="75" t="s">
        <v>1959</v>
      </c>
      <c r="B136" s="76" t="s">
        <v>1960</v>
      </c>
      <c r="C136" s="85" t="s">
        <v>1898</v>
      </c>
      <c r="D136" s="78">
        <v>2.5</v>
      </c>
      <c r="E136" s="79" t="s">
        <v>357</v>
      </c>
      <c r="F136" s="80" t="s">
        <v>299</v>
      </c>
    </row>
    <row r="137" spans="1:6" ht="65" x14ac:dyDescent="0.35">
      <c r="A137" s="75" t="s">
        <v>1961</v>
      </c>
      <c r="B137" s="76" t="s">
        <v>1962</v>
      </c>
      <c r="C137" s="85" t="s">
        <v>1898</v>
      </c>
      <c r="D137" s="78">
        <v>0.75</v>
      </c>
      <c r="E137" s="79" t="s">
        <v>357</v>
      </c>
      <c r="F137" s="80" t="s">
        <v>299</v>
      </c>
    </row>
    <row r="138" spans="1:6" ht="52" x14ac:dyDescent="0.35">
      <c r="A138" s="75" t="s">
        <v>1963</v>
      </c>
      <c r="B138" s="76" t="s">
        <v>1964</v>
      </c>
      <c r="C138" s="85" t="s">
        <v>1898</v>
      </c>
      <c r="D138" s="78">
        <v>1.5</v>
      </c>
      <c r="E138" s="79" t="s">
        <v>357</v>
      </c>
      <c r="F138" s="80" t="s">
        <v>299</v>
      </c>
    </row>
    <row r="139" spans="1:6" ht="78" x14ac:dyDescent="0.35">
      <c r="A139" s="75" t="s">
        <v>1965</v>
      </c>
      <c r="B139" s="76" t="s">
        <v>1966</v>
      </c>
      <c r="C139" s="85" t="s">
        <v>1898</v>
      </c>
      <c r="D139" s="78">
        <v>5.5</v>
      </c>
      <c r="E139" s="79" t="s">
        <v>357</v>
      </c>
      <c r="F139" s="80" t="s">
        <v>299</v>
      </c>
    </row>
    <row r="140" spans="1:6" ht="39" x14ac:dyDescent="0.35">
      <c r="A140" s="75" t="s">
        <v>1967</v>
      </c>
      <c r="B140" s="76" t="s">
        <v>1968</v>
      </c>
      <c r="C140" s="85" t="s">
        <v>1898</v>
      </c>
      <c r="D140" s="78">
        <v>2.5</v>
      </c>
      <c r="E140" s="79" t="s">
        <v>357</v>
      </c>
      <c r="F140" s="80" t="s">
        <v>299</v>
      </c>
    </row>
    <row r="141" spans="1:6" ht="65" x14ac:dyDescent="0.35">
      <c r="A141" s="75" t="s">
        <v>1969</v>
      </c>
      <c r="B141" s="76" t="s">
        <v>1970</v>
      </c>
      <c r="C141" s="85" t="s">
        <v>1898</v>
      </c>
      <c r="D141" s="78">
        <v>3</v>
      </c>
      <c r="E141" s="79" t="s">
        <v>357</v>
      </c>
      <c r="F141" s="80" t="s">
        <v>299</v>
      </c>
    </row>
    <row r="142" spans="1:6" ht="78" x14ac:dyDescent="0.35">
      <c r="A142" s="75" t="s">
        <v>1971</v>
      </c>
      <c r="B142" s="76" t="s">
        <v>1972</v>
      </c>
      <c r="C142" s="85" t="s">
        <v>1898</v>
      </c>
      <c r="D142" s="78">
        <v>3</v>
      </c>
      <c r="E142" s="79" t="s">
        <v>357</v>
      </c>
      <c r="F142" s="80" t="s">
        <v>299</v>
      </c>
    </row>
    <row r="143" spans="1:6" ht="52" x14ac:dyDescent="0.35">
      <c r="A143" s="75" t="s">
        <v>1973</v>
      </c>
      <c r="B143" s="76" t="s">
        <v>1974</v>
      </c>
      <c r="C143" s="85" t="s">
        <v>1898</v>
      </c>
      <c r="D143" s="78">
        <v>1</v>
      </c>
      <c r="E143" s="79" t="s">
        <v>357</v>
      </c>
      <c r="F143" s="80" t="s">
        <v>299</v>
      </c>
    </row>
    <row r="144" spans="1:6" ht="78" x14ac:dyDescent="0.35">
      <c r="A144" s="75" t="s">
        <v>1975</v>
      </c>
      <c r="B144" s="76" t="s">
        <v>1976</v>
      </c>
      <c r="C144" s="85" t="s">
        <v>1898</v>
      </c>
      <c r="D144" s="78">
        <v>3.5</v>
      </c>
      <c r="E144" s="79" t="s">
        <v>357</v>
      </c>
      <c r="F144" s="80" t="s">
        <v>299</v>
      </c>
    </row>
    <row r="145" spans="1:6" ht="78" x14ac:dyDescent="0.35">
      <c r="A145" s="75" t="s">
        <v>1977</v>
      </c>
      <c r="B145" s="76" t="s">
        <v>1978</v>
      </c>
      <c r="C145" s="85" t="s">
        <v>1903</v>
      </c>
      <c r="D145" s="78">
        <v>2</v>
      </c>
      <c r="E145" s="79" t="s">
        <v>357</v>
      </c>
      <c r="F145" s="80" t="s">
        <v>299</v>
      </c>
    </row>
    <row r="146" spans="1:6" ht="65" x14ac:dyDescent="0.35">
      <c r="A146" s="75" t="s">
        <v>1979</v>
      </c>
      <c r="B146" s="76" t="s">
        <v>1980</v>
      </c>
      <c r="C146" s="85" t="s">
        <v>1903</v>
      </c>
      <c r="D146" s="78">
        <v>3</v>
      </c>
      <c r="E146" s="79" t="s">
        <v>357</v>
      </c>
      <c r="F146" s="80" t="s">
        <v>299</v>
      </c>
    </row>
    <row r="147" spans="1:6" ht="65" x14ac:dyDescent="0.35">
      <c r="A147" s="75" t="s">
        <v>1981</v>
      </c>
      <c r="B147" s="76" t="s">
        <v>1982</v>
      </c>
      <c r="C147" s="85" t="s">
        <v>1903</v>
      </c>
      <c r="D147" s="78">
        <v>3</v>
      </c>
      <c r="E147" s="79" t="s">
        <v>357</v>
      </c>
      <c r="F147" s="80" t="s">
        <v>299</v>
      </c>
    </row>
    <row r="148" spans="1:6" ht="104" x14ac:dyDescent="0.35">
      <c r="A148" s="75" t="s">
        <v>1983</v>
      </c>
      <c r="B148" s="76" t="s">
        <v>1984</v>
      </c>
      <c r="C148" s="85" t="s">
        <v>1903</v>
      </c>
      <c r="D148" s="78">
        <v>3</v>
      </c>
      <c r="E148" s="79" t="s">
        <v>357</v>
      </c>
      <c r="F148" s="80" t="s">
        <v>299</v>
      </c>
    </row>
    <row r="149" spans="1:6" ht="52" x14ac:dyDescent="0.35">
      <c r="A149" s="75" t="s">
        <v>1985</v>
      </c>
      <c r="B149" s="76" t="s">
        <v>1986</v>
      </c>
      <c r="C149" s="85" t="s">
        <v>1903</v>
      </c>
      <c r="D149" s="78">
        <v>0.75</v>
      </c>
      <c r="E149" s="79" t="s">
        <v>357</v>
      </c>
      <c r="F149" s="80" t="s">
        <v>299</v>
      </c>
    </row>
    <row r="150" spans="1:6" ht="65" x14ac:dyDescent="0.35">
      <c r="A150" s="75" t="s">
        <v>1987</v>
      </c>
      <c r="B150" s="76" t="s">
        <v>1988</v>
      </c>
      <c r="C150" s="85" t="s">
        <v>1931</v>
      </c>
      <c r="D150" s="78">
        <v>6</v>
      </c>
      <c r="E150" s="79" t="s">
        <v>357</v>
      </c>
      <c r="F150" s="80" t="s">
        <v>299</v>
      </c>
    </row>
    <row r="151" spans="1:6" ht="65" x14ac:dyDescent="0.35">
      <c r="A151" s="75" t="s">
        <v>1989</v>
      </c>
      <c r="B151" s="76" t="s">
        <v>1990</v>
      </c>
      <c r="C151" s="85" t="s">
        <v>1931</v>
      </c>
      <c r="D151" s="78">
        <v>3</v>
      </c>
      <c r="E151" s="79" t="s">
        <v>357</v>
      </c>
      <c r="F151" s="80" t="s">
        <v>299</v>
      </c>
    </row>
    <row r="152" spans="1:6" ht="104" x14ac:dyDescent="0.35">
      <c r="A152" s="75" t="s">
        <v>1991</v>
      </c>
      <c r="B152" s="76" t="s">
        <v>1992</v>
      </c>
      <c r="C152" s="85" t="s">
        <v>1931</v>
      </c>
      <c r="D152" s="78">
        <v>4</v>
      </c>
      <c r="E152" s="79" t="s">
        <v>357</v>
      </c>
      <c r="F152" s="80" t="s">
        <v>299</v>
      </c>
    </row>
    <row r="153" spans="1:6" ht="65" x14ac:dyDescent="0.35">
      <c r="A153" s="75" t="s">
        <v>1993</v>
      </c>
      <c r="B153" s="76" t="s">
        <v>1994</v>
      </c>
      <c r="C153" s="85" t="s">
        <v>1931</v>
      </c>
      <c r="D153" s="78">
        <v>4.25</v>
      </c>
      <c r="E153" s="79" t="s">
        <v>357</v>
      </c>
      <c r="F153" s="80" t="s">
        <v>299</v>
      </c>
    </row>
    <row r="154" spans="1:6" ht="91" x14ac:dyDescent="0.35">
      <c r="A154" s="75" t="s">
        <v>1995</v>
      </c>
      <c r="B154" s="76" t="s">
        <v>1996</v>
      </c>
      <c r="C154" s="85" t="s">
        <v>1906</v>
      </c>
      <c r="D154" s="78">
        <v>7</v>
      </c>
      <c r="E154" s="79" t="s">
        <v>1887</v>
      </c>
      <c r="F154" s="80" t="s">
        <v>299</v>
      </c>
    </row>
    <row r="155" spans="1:6" ht="52" x14ac:dyDescent="0.35">
      <c r="A155" s="75" t="s">
        <v>1997</v>
      </c>
      <c r="B155" s="76" t="s">
        <v>1998</v>
      </c>
      <c r="C155" s="85" t="s">
        <v>1906</v>
      </c>
      <c r="D155" s="78">
        <v>2.5</v>
      </c>
      <c r="E155" s="79" t="s">
        <v>1887</v>
      </c>
      <c r="F155" s="80" t="s">
        <v>299</v>
      </c>
    </row>
    <row r="156" spans="1:6" ht="104" x14ac:dyDescent="0.35">
      <c r="A156" s="75" t="s">
        <v>1999</v>
      </c>
      <c r="B156" s="76" t="s">
        <v>2000</v>
      </c>
      <c r="C156" s="85" t="s">
        <v>1906</v>
      </c>
      <c r="D156" s="78">
        <v>3</v>
      </c>
      <c r="E156" s="79" t="s">
        <v>1887</v>
      </c>
      <c r="F156" s="80" t="s">
        <v>299</v>
      </c>
    </row>
    <row r="157" spans="1:6" ht="65" x14ac:dyDescent="0.35">
      <c r="A157" s="75" t="s">
        <v>2001</v>
      </c>
      <c r="B157" s="76" t="s">
        <v>2002</v>
      </c>
      <c r="C157" s="85" t="s">
        <v>1906</v>
      </c>
      <c r="D157" s="78">
        <v>2.75</v>
      </c>
      <c r="E157" s="79" t="s">
        <v>1887</v>
      </c>
      <c r="F157" s="80" t="s">
        <v>299</v>
      </c>
    </row>
    <row r="158" spans="1:6" ht="26" x14ac:dyDescent="0.35">
      <c r="A158" s="75" t="s">
        <v>2003</v>
      </c>
      <c r="B158" s="76" t="s">
        <v>2004</v>
      </c>
      <c r="C158" s="85" t="s">
        <v>1906</v>
      </c>
      <c r="D158" s="78">
        <v>0.5</v>
      </c>
      <c r="E158" s="79" t="s">
        <v>1887</v>
      </c>
      <c r="F158" s="80" t="s">
        <v>299</v>
      </c>
    </row>
  </sheetData>
  <autoFilter ref="A4:F158" xr:uid="{00000000-0009-0000-0000-00000F000000}"/>
  <mergeCells count="2">
    <mergeCell ref="A2:F2"/>
    <mergeCell ref="A1:F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3"/>
  <sheetViews>
    <sheetView showGridLines="0" workbookViewId="0">
      <pane ySplit="7" topLeftCell="A35" activePane="bottomLeft" state="frozen"/>
      <selection pane="bottomLeft" sqref="A1:I1"/>
    </sheetView>
  </sheetViews>
  <sheetFormatPr defaultRowHeight="14.5" x14ac:dyDescent="0.35"/>
  <cols>
    <col min="1" max="1" width="8" customWidth="1"/>
    <col min="2" max="2" width="26" customWidth="1"/>
    <col min="3" max="3" width="20" customWidth="1"/>
    <col min="4" max="4" width="56" customWidth="1"/>
    <col min="5" max="5" width="9" customWidth="1"/>
    <col min="6" max="6" width="11" customWidth="1"/>
    <col min="7" max="7" width="14" customWidth="1"/>
  </cols>
  <sheetData>
    <row r="1" spans="1:9" ht="30" customHeight="1" x14ac:dyDescent="0.35">
      <c r="A1" s="140" t="s">
        <v>2005</v>
      </c>
      <c r="B1" s="120"/>
      <c r="C1" s="120"/>
      <c r="D1" s="120"/>
      <c r="E1" s="120"/>
      <c r="F1" s="120"/>
      <c r="G1" s="120"/>
      <c r="H1" s="120"/>
      <c r="I1" s="120"/>
    </row>
    <row r="2" spans="1:9" ht="18" customHeight="1" x14ac:dyDescent="0.35">
      <c r="A2" s="138" t="s">
        <v>2006</v>
      </c>
      <c r="B2" s="120"/>
      <c r="C2" s="120"/>
      <c r="D2" s="120"/>
      <c r="E2" s="120"/>
      <c r="F2" s="120"/>
      <c r="G2" s="120"/>
      <c r="H2" s="120"/>
      <c r="I2" s="120"/>
    </row>
    <row r="4" spans="1:9" ht="22" customHeight="1" x14ac:dyDescent="0.35">
      <c r="A4" s="141" t="s">
        <v>2007</v>
      </c>
      <c r="B4" s="120"/>
      <c r="C4" s="120"/>
      <c r="D4" s="120"/>
      <c r="E4" s="120"/>
      <c r="F4" s="120"/>
      <c r="G4" s="120"/>
      <c r="H4" s="120"/>
      <c r="I4" s="120"/>
    </row>
    <row r="5" spans="1:9" ht="26" customHeight="1" x14ac:dyDescent="0.35">
      <c r="A5" s="148" t="s">
        <v>2008</v>
      </c>
      <c r="B5" s="148" t="s">
        <v>2009</v>
      </c>
      <c r="C5" s="148" t="s">
        <v>2010</v>
      </c>
      <c r="D5" s="148" t="s">
        <v>2011</v>
      </c>
      <c r="E5" s="148" t="s">
        <v>2012</v>
      </c>
      <c r="F5" s="148" t="s">
        <v>342</v>
      </c>
      <c r="G5" s="148" t="s">
        <v>2013</v>
      </c>
    </row>
    <row r="6" spans="1:9" ht="24" customHeight="1" x14ac:dyDescent="0.35">
      <c r="A6" s="147">
        <v>16</v>
      </c>
      <c r="B6" s="147">
        <v>11</v>
      </c>
      <c r="C6" s="147">
        <v>154</v>
      </c>
      <c r="D6" s="149">
        <v>319.75</v>
      </c>
      <c r="E6" s="147">
        <v>70</v>
      </c>
      <c r="F6" s="147">
        <v>3</v>
      </c>
      <c r="G6" s="147" t="s">
        <v>2014</v>
      </c>
    </row>
    <row r="7" spans="1:9" ht="22" customHeight="1" x14ac:dyDescent="0.35">
      <c r="A7" s="146" t="s">
        <v>2015</v>
      </c>
      <c r="B7" s="146" t="s">
        <v>2016</v>
      </c>
      <c r="C7" s="146" t="s">
        <v>2017</v>
      </c>
      <c r="D7" s="146" t="s">
        <v>2018</v>
      </c>
      <c r="E7" s="146" t="s">
        <v>2019</v>
      </c>
      <c r="F7" s="146" t="s">
        <v>2020</v>
      </c>
      <c r="G7" s="146"/>
    </row>
    <row r="9" spans="1:9" ht="22" customHeight="1" x14ac:dyDescent="0.35">
      <c r="A9" s="141" t="s">
        <v>2021</v>
      </c>
      <c r="B9" s="120"/>
      <c r="C9" s="120"/>
      <c r="D9" s="120"/>
      <c r="E9" s="120"/>
      <c r="F9" s="120"/>
      <c r="G9" s="120"/>
      <c r="H9" s="120"/>
      <c r="I9" s="120"/>
    </row>
    <row r="10" spans="1:9" ht="30" customHeight="1" x14ac:dyDescent="0.35">
      <c r="A10" s="60" t="s">
        <v>264</v>
      </c>
      <c r="B10" s="60" t="s">
        <v>2022</v>
      </c>
      <c r="C10" s="60" t="s">
        <v>2023</v>
      </c>
      <c r="D10" s="60" t="s">
        <v>2024</v>
      </c>
      <c r="E10" s="60" t="s">
        <v>2025</v>
      </c>
      <c r="F10" s="60" t="s">
        <v>269</v>
      </c>
      <c r="G10" s="60" t="s">
        <v>2026</v>
      </c>
    </row>
    <row r="11" spans="1:9" ht="26" customHeight="1" x14ac:dyDescent="0.35">
      <c r="A11" s="86" t="s">
        <v>293</v>
      </c>
      <c r="B11" s="62" t="s">
        <v>1695</v>
      </c>
      <c r="C11" s="87" t="s">
        <v>2027</v>
      </c>
      <c r="D11" s="76" t="s">
        <v>2028</v>
      </c>
      <c r="E11" s="62">
        <v>21</v>
      </c>
      <c r="F11" s="70">
        <v>18.75</v>
      </c>
      <c r="G11" s="88" t="s">
        <v>300</v>
      </c>
    </row>
    <row r="12" spans="1:9" ht="26" customHeight="1" x14ac:dyDescent="0.35">
      <c r="A12" s="89" t="s">
        <v>362</v>
      </c>
      <c r="B12" s="62" t="s">
        <v>1699</v>
      </c>
      <c r="C12" s="90" t="s">
        <v>2029</v>
      </c>
      <c r="D12" s="76" t="s">
        <v>2030</v>
      </c>
      <c r="E12" s="62">
        <v>17</v>
      </c>
      <c r="F12" s="70">
        <v>49.25</v>
      </c>
      <c r="G12" s="91"/>
    </row>
    <row r="13" spans="1:9" ht="26" customHeight="1" x14ac:dyDescent="0.35">
      <c r="A13" s="89" t="s">
        <v>1703</v>
      </c>
      <c r="B13" s="62" t="s">
        <v>1704</v>
      </c>
      <c r="C13" s="90" t="s">
        <v>2029</v>
      </c>
      <c r="D13" s="76" t="s">
        <v>2031</v>
      </c>
      <c r="E13" s="62">
        <v>18</v>
      </c>
      <c r="F13" s="70">
        <v>32.5</v>
      </c>
      <c r="G13" s="88" t="s">
        <v>1707</v>
      </c>
    </row>
    <row r="14" spans="1:9" ht="26" customHeight="1" x14ac:dyDescent="0.35">
      <c r="A14" s="89" t="s">
        <v>1708</v>
      </c>
      <c r="B14" s="62" t="s">
        <v>1709</v>
      </c>
      <c r="C14" s="90" t="s">
        <v>2029</v>
      </c>
      <c r="D14" s="76" t="s">
        <v>1710</v>
      </c>
      <c r="E14" s="62">
        <v>17</v>
      </c>
      <c r="F14" s="70">
        <v>27</v>
      </c>
      <c r="G14" s="88" t="s">
        <v>1712</v>
      </c>
    </row>
    <row r="15" spans="1:9" ht="26" customHeight="1" x14ac:dyDescent="0.35">
      <c r="A15" s="89" t="s">
        <v>1713</v>
      </c>
      <c r="B15" s="62" t="s">
        <v>1714</v>
      </c>
      <c r="C15" s="90" t="s">
        <v>2029</v>
      </c>
      <c r="D15" s="76" t="s">
        <v>2032</v>
      </c>
      <c r="E15" s="62">
        <v>5</v>
      </c>
      <c r="F15" s="70">
        <v>13</v>
      </c>
      <c r="G15" s="91"/>
    </row>
    <row r="16" spans="1:9" ht="26" customHeight="1" x14ac:dyDescent="0.35">
      <c r="A16" s="89" t="s">
        <v>1717</v>
      </c>
      <c r="B16" s="62" t="s">
        <v>1718</v>
      </c>
      <c r="C16" s="90" t="s">
        <v>2029</v>
      </c>
      <c r="D16" s="76" t="s">
        <v>2033</v>
      </c>
      <c r="E16" s="62">
        <v>10</v>
      </c>
      <c r="F16" s="70">
        <v>21.25</v>
      </c>
      <c r="G16" s="91"/>
    </row>
    <row r="17" spans="1:9" ht="26" customHeight="1" x14ac:dyDescent="0.35">
      <c r="A17" s="89" t="s">
        <v>1721</v>
      </c>
      <c r="B17" s="62" t="s">
        <v>1722</v>
      </c>
      <c r="C17" s="90" t="s">
        <v>2029</v>
      </c>
      <c r="D17" s="76" t="s">
        <v>2034</v>
      </c>
      <c r="E17" s="62">
        <v>12</v>
      </c>
      <c r="F17" s="70">
        <v>26.25</v>
      </c>
      <c r="G17" s="88" t="s">
        <v>1725</v>
      </c>
    </row>
    <row r="18" spans="1:9" ht="26" customHeight="1" x14ac:dyDescent="0.35">
      <c r="A18" s="89" t="s">
        <v>1726</v>
      </c>
      <c r="B18" s="62" t="s">
        <v>1727</v>
      </c>
      <c r="C18" s="90" t="s">
        <v>2029</v>
      </c>
      <c r="D18" s="76" t="s">
        <v>2035</v>
      </c>
      <c r="E18" s="62">
        <v>6</v>
      </c>
      <c r="F18" s="70">
        <v>24.75</v>
      </c>
      <c r="G18" s="88" t="s">
        <v>1730</v>
      </c>
    </row>
    <row r="19" spans="1:9" ht="26" customHeight="1" x14ac:dyDescent="0.35">
      <c r="A19" s="89" t="s">
        <v>1731</v>
      </c>
      <c r="B19" s="62" t="s">
        <v>1732</v>
      </c>
      <c r="C19" s="90" t="s">
        <v>2029</v>
      </c>
      <c r="D19" s="76" t="s">
        <v>1733</v>
      </c>
      <c r="E19" s="62">
        <v>9</v>
      </c>
      <c r="F19" s="70">
        <v>22</v>
      </c>
      <c r="G19" s="88" t="s">
        <v>1735</v>
      </c>
    </row>
    <row r="20" spans="1:9" ht="26" customHeight="1" x14ac:dyDescent="0.35">
      <c r="A20" s="89" t="s">
        <v>1736</v>
      </c>
      <c r="B20" s="62" t="s">
        <v>1737</v>
      </c>
      <c r="C20" s="90" t="s">
        <v>2029</v>
      </c>
      <c r="D20" s="76" t="s">
        <v>2036</v>
      </c>
      <c r="E20" s="62">
        <v>6</v>
      </c>
      <c r="F20" s="70">
        <v>18</v>
      </c>
      <c r="G20" s="91"/>
    </row>
    <row r="21" spans="1:9" ht="26" customHeight="1" x14ac:dyDescent="0.35">
      <c r="A21" s="89" t="s">
        <v>1740</v>
      </c>
      <c r="B21" s="62" t="s">
        <v>1741</v>
      </c>
      <c r="C21" s="90" t="s">
        <v>2029</v>
      </c>
      <c r="D21" s="76" t="s">
        <v>1742</v>
      </c>
      <c r="E21" s="62">
        <v>5</v>
      </c>
      <c r="F21" s="70">
        <v>13.25</v>
      </c>
      <c r="G21" s="88" t="s">
        <v>1744</v>
      </c>
    </row>
    <row r="22" spans="1:9" ht="26" customHeight="1" x14ac:dyDescent="0.35">
      <c r="A22" s="92" t="s">
        <v>1745</v>
      </c>
      <c r="B22" s="62" t="s">
        <v>1746</v>
      </c>
      <c r="C22" s="93" t="s">
        <v>2037</v>
      </c>
      <c r="D22" s="76" t="s">
        <v>2038</v>
      </c>
      <c r="E22" s="62">
        <v>9</v>
      </c>
      <c r="F22" s="70">
        <v>26</v>
      </c>
      <c r="G22" s="91"/>
    </row>
    <row r="23" spans="1:9" ht="26" customHeight="1" x14ac:dyDescent="0.35">
      <c r="A23" s="94" t="s">
        <v>1456</v>
      </c>
      <c r="B23" s="62" t="s">
        <v>1749</v>
      </c>
      <c r="C23" s="95" t="s">
        <v>2039</v>
      </c>
      <c r="D23" s="76" t="s">
        <v>2040</v>
      </c>
      <c r="E23" s="62">
        <v>7</v>
      </c>
      <c r="F23" s="70">
        <v>18</v>
      </c>
      <c r="G23" s="88" t="s">
        <v>1753</v>
      </c>
    </row>
    <row r="24" spans="1:9" ht="26" customHeight="1" x14ac:dyDescent="0.35">
      <c r="A24" s="96" t="s">
        <v>1754</v>
      </c>
      <c r="B24" s="62" t="s">
        <v>1755</v>
      </c>
      <c r="C24" s="97" t="s">
        <v>2041</v>
      </c>
      <c r="D24" s="76" t="s">
        <v>2042</v>
      </c>
      <c r="E24" s="62">
        <v>7</v>
      </c>
      <c r="F24" s="70">
        <v>5.75</v>
      </c>
      <c r="G24" s="88" t="s">
        <v>1759</v>
      </c>
    </row>
    <row r="25" spans="1:9" ht="26" customHeight="1" x14ac:dyDescent="0.35">
      <c r="A25" s="98" t="s">
        <v>1469</v>
      </c>
      <c r="B25" s="62" t="s">
        <v>1760</v>
      </c>
      <c r="C25" s="99" t="s">
        <v>2043</v>
      </c>
      <c r="D25" s="76" t="s">
        <v>1762</v>
      </c>
      <c r="E25" s="62">
        <v>1</v>
      </c>
      <c r="F25" s="70">
        <v>0</v>
      </c>
      <c r="G25" s="91"/>
    </row>
    <row r="26" spans="1:9" ht="26" customHeight="1" x14ac:dyDescent="0.35">
      <c r="A26" s="100" t="s">
        <v>1764</v>
      </c>
      <c r="B26" s="62" t="s">
        <v>1765</v>
      </c>
      <c r="C26" s="101" t="s">
        <v>2044</v>
      </c>
      <c r="D26" s="76" t="s">
        <v>2045</v>
      </c>
      <c r="E26" s="62">
        <v>4</v>
      </c>
      <c r="F26" s="70">
        <v>4</v>
      </c>
      <c r="G26" s="91"/>
    </row>
    <row r="27" spans="1:9" x14ac:dyDescent="0.35">
      <c r="A27" s="49" t="s">
        <v>1587</v>
      </c>
      <c r="B27" s="102"/>
      <c r="C27" s="102"/>
      <c r="D27" s="102"/>
      <c r="E27" s="53">
        <f>SUM(E11:E26)</f>
        <v>154</v>
      </c>
      <c r="F27" s="65">
        <f>ROUND(SUM(F11:F26),2)</f>
        <v>319.75</v>
      </c>
      <c r="G27" s="102"/>
    </row>
    <row r="29" spans="1:9" ht="22" customHeight="1" x14ac:dyDescent="0.35">
      <c r="A29" s="141" t="s">
        <v>2046</v>
      </c>
      <c r="B29" s="120"/>
      <c r="C29" s="120"/>
      <c r="D29" s="120"/>
      <c r="E29" s="120"/>
      <c r="F29" s="120"/>
      <c r="G29" s="120"/>
      <c r="H29" s="120"/>
      <c r="I29" s="120"/>
    </row>
    <row r="30" spans="1:9" ht="30" customHeight="1" x14ac:dyDescent="0.35">
      <c r="A30" s="60" t="s">
        <v>2047</v>
      </c>
      <c r="B30" s="60" t="s">
        <v>299</v>
      </c>
      <c r="C30" s="60" t="s">
        <v>1587</v>
      </c>
      <c r="D30" s="60" t="s">
        <v>2048</v>
      </c>
      <c r="E30" s="60"/>
      <c r="F30" s="60"/>
      <c r="G30" s="60"/>
    </row>
    <row r="31" spans="1:9" x14ac:dyDescent="0.35">
      <c r="A31" s="103" t="s">
        <v>2049</v>
      </c>
      <c r="B31" s="62">
        <v>11</v>
      </c>
      <c r="C31" s="62">
        <v>23</v>
      </c>
      <c r="D31" s="63">
        <f t="shared" ref="D31:D39" si="0">B31/C31</f>
        <v>0.47826086956521741</v>
      </c>
      <c r="E31" s="69"/>
      <c r="F31" s="69"/>
      <c r="G31" s="69"/>
    </row>
    <row r="32" spans="1:9" x14ac:dyDescent="0.35">
      <c r="A32" s="103" t="s">
        <v>2050</v>
      </c>
      <c r="B32" s="62">
        <v>15</v>
      </c>
      <c r="C32" s="62">
        <v>20</v>
      </c>
      <c r="D32" s="63">
        <f t="shared" si="0"/>
        <v>0.75</v>
      </c>
      <c r="E32" s="69"/>
      <c r="F32" s="69"/>
      <c r="G32" s="69"/>
    </row>
    <row r="33" spans="1:9" x14ac:dyDescent="0.35">
      <c r="A33" s="103" t="s">
        <v>1861</v>
      </c>
      <c r="B33" s="62">
        <v>9</v>
      </c>
      <c r="C33" s="62">
        <v>22</v>
      </c>
      <c r="D33" s="63">
        <f t="shared" si="0"/>
        <v>0.40909090909090912</v>
      </c>
      <c r="E33" s="69"/>
      <c r="F33" s="69"/>
      <c r="G33" s="69"/>
    </row>
    <row r="34" spans="1:9" x14ac:dyDescent="0.35">
      <c r="A34" s="103" t="s">
        <v>2051</v>
      </c>
      <c r="B34" s="62">
        <v>3</v>
      </c>
      <c r="C34" s="62">
        <v>3</v>
      </c>
      <c r="D34" s="63">
        <f t="shared" si="0"/>
        <v>1</v>
      </c>
      <c r="E34" s="69"/>
      <c r="F34" s="69"/>
      <c r="G34" s="69"/>
    </row>
    <row r="35" spans="1:9" x14ac:dyDescent="0.35">
      <c r="A35" s="103" t="s">
        <v>1898</v>
      </c>
      <c r="B35" s="62">
        <v>9</v>
      </c>
      <c r="C35" s="62">
        <v>11</v>
      </c>
      <c r="D35" s="63">
        <f t="shared" si="0"/>
        <v>0.81818181818181823</v>
      </c>
      <c r="E35" s="69"/>
      <c r="F35" s="69"/>
      <c r="G35" s="69"/>
    </row>
    <row r="36" spans="1:9" x14ac:dyDescent="0.35">
      <c r="A36" s="103" t="s">
        <v>2052</v>
      </c>
      <c r="B36" s="62">
        <v>5</v>
      </c>
      <c r="C36" s="62">
        <v>6</v>
      </c>
      <c r="D36" s="63">
        <f t="shared" si="0"/>
        <v>0.83333333333333337</v>
      </c>
      <c r="E36" s="69"/>
      <c r="F36" s="69"/>
      <c r="G36" s="69"/>
    </row>
    <row r="37" spans="1:9" x14ac:dyDescent="0.35">
      <c r="A37" s="103" t="s">
        <v>2053</v>
      </c>
      <c r="B37" s="62">
        <v>4</v>
      </c>
      <c r="C37" s="62">
        <v>6</v>
      </c>
      <c r="D37" s="63">
        <f t="shared" si="0"/>
        <v>0.66666666666666663</v>
      </c>
      <c r="E37" s="69"/>
      <c r="F37" s="69"/>
      <c r="G37" s="69"/>
    </row>
    <row r="38" spans="1:9" x14ac:dyDescent="0.35">
      <c r="A38" s="103" t="s">
        <v>2054</v>
      </c>
      <c r="B38" s="62">
        <v>5</v>
      </c>
      <c r="C38" s="62">
        <v>7</v>
      </c>
      <c r="D38" s="63">
        <f t="shared" si="0"/>
        <v>0.7142857142857143</v>
      </c>
      <c r="E38" s="69"/>
      <c r="F38" s="69"/>
      <c r="G38" s="69"/>
    </row>
    <row r="39" spans="1:9" x14ac:dyDescent="0.35">
      <c r="A39" s="49" t="s">
        <v>2055</v>
      </c>
      <c r="B39" s="53">
        <f>SUM(B31:B38)</f>
        <v>61</v>
      </c>
      <c r="C39" s="53">
        <f>SUM(C31:C38)</f>
        <v>98</v>
      </c>
      <c r="D39" s="66">
        <f t="shared" si="0"/>
        <v>0.62244897959183676</v>
      </c>
      <c r="E39" s="102"/>
      <c r="F39" s="102"/>
      <c r="G39" s="102"/>
    </row>
    <row r="41" spans="1:9" ht="22" customHeight="1" x14ac:dyDescent="0.35">
      <c r="A41" s="141" t="s">
        <v>2056</v>
      </c>
      <c r="B41" s="120"/>
      <c r="C41" s="120"/>
      <c r="D41" s="120"/>
      <c r="E41" s="120"/>
      <c r="F41" s="120"/>
      <c r="G41" s="120"/>
      <c r="H41" s="120"/>
      <c r="I41" s="120"/>
    </row>
    <row r="42" spans="1:9" ht="30" customHeight="1" x14ac:dyDescent="0.35">
      <c r="A42" s="60" t="s">
        <v>26</v>
      </c>
      <c r="B42" s="60" t="s">
        <v>160</v>
      </c>
      <c r="C42" s="60" t="s">
        <v>2057</v>
      </c>
    </row>
    <row r="43" spans="1:9" x14ac:dyDescent="0.35">
      <c r="A43" s="104" t="s">
        <v>324</v>
      </c>
      <c r="B43" s="144" t="s">
        <v>2058</v>
      </c>
      <c r="C43" s="145"/>
      <c r="D43" s="145"/>
      <c r="E43" s="145"/>
      <c r="F43" s="145"/>
      <c r="G43" s="62" t="s">
        <v>2059</v>
      </c>
    </row>
    <row r="44" spans="1:9" x14ac:dyDescent="0.35">
      <c r="A44" s="105" t="s">
        <v>315</v>
      </c>
      <c r="B44" s="144" t="s">
        <v>2060</v>
      </c>
      <c r="C44" s="145"/>
      <c r="D44" s="145"/>
      <c r="E44" s="145"/>
      <c r="F44" s="145"/>
      <c r="G44" s="62" t="s">
        <v>180</v>
      </c>
    </row>
    <row r="45" spans="1:9" x14ac:dyDescent="0.35">
      <c r="A45" s="106" t="s">
        <v>358</v>
      </c>
      <c r="B45" s="144" t="s">
        <v>2061</v>
      </c>
      <c r="C45" s="145"/>
      <c r="D45" s="145"/>
      <c r="E45" s="145"/>
      <c r="F45" s="145"/>
      <c r="G45" s="62" t="s">
        <v>2062</v>
      </c>
    </row>
    <row r="46" spans="1:9" x14ac:dyDescent="0.35">
      <c r="A46" s="107" t="s">
        <v>342</v>
      </c>
      <c r="B46" s="144" t="s">
        <v>2063</v>
      </c>
      <c r="C46" s="145"/>
      <c r="D46" s="145"/>
      <c r="E46" s="145"/>
      <c r="F46" s="145"/>
      <c r="G46" s="62" t="s">
        <v>182</v>
      </c>
    </row>
    <row r="47" spans="1:9" x14ac:dyDescent="0.35">
      <c r="A47" s="108" t="s">
        <v>1928</v>
      </c>
      <c r="B47" s="144" t="s">
        <v>2064</v>
      </c>
      <c r="C47" s="145"/>
      <c r="D47" s="145"/>
      <c r="E47" s="145"/>
      <c r="F47" s="145"/>
      <c r="G47" s="62" t="s">
        <v>2065</v>
      </c>
    </row>
    <row r="48" spans="1:9" x14ac:dyDescent="0.35">
      <c r="A48" s="109" t="s">
        <v>299</v>
      </c>
      <c r="B48" s="144" t="s">
        <v>2066</v>
      </c>
      <c r="C48" s="145"/>
      <c r="D48" s="145"/>
      <c r="E48" s="145"/>
      <c r="F48" s="145"/>
      <c r="G48" s="62" t="s">
        <v>178</v>
      </c>
    </row>
    <row r="50" spans="1:9" x14ac:dyDescent="0.35">
      <c r="A50" s="139" t="s">
        <v>2067</v>
      </c>
      <c r="B50" s="120"/>
      <c r="C50" s="120"/>
      <c r="D50" s="120"/>
      <c r="E50" s="120"/>
      <c r="F50" s="120"/>
      <c r="G50" s="120"/>
      <c r="H50" s="120"/>
      <c r="I50" s="120"/>
    </row>
    <row r="51" spans="1:9" x14ac:dyDescent="0.35">
      <c r="A51" s="139" t="s">
        <v>413</v>
      </c>
      <c r="B51" s="120"/>
      <c r="C51" s="120"/>
      <c r="D51" s="120"/>
      <c r="E51" s="120"/>
      <c r="F51" s="120"/>
      <c r="G51" s="120"/>
      <c r="H51" s="120"/>
      <c r="I51" s="120"/>
    </row>
    <row r="52" spans="1:9" x14ac:dyDescent="0.35">
      <c r="A52" s="139" t="s">
        <v>2068</v>
      </c>
      <c r="B52" s="120"/>
      <c r="C52" s="120"/>
      <c r="D52" s="120"/>
      <c r="E52" s="120"/>
      <c r="F52" s="120"/>
      <c r="G52" s="120"/>
      <c r="H52" s="120"/>
      <c r="I52" s="120"/>
    </row>
    <row r="53" spans="1:9" x14ac:dyDescent="0.35">
      <c r="A53" s="139" t="s">
        <v>2069</v>
      </c>
      <c r="B53" s="120"/>
      <c r="C53" s="120"/>
      <c r="D53" s="120"/>
      <c r="E53" s="120"/>
      <c r="F53" s="120"/>
      <c r="G53" s="120"/>
      <c r="H53" s="120"/>
      <c r="I53" s="120"/>
    </row>
  </sheetData>
  <mergeCells count="37">
    <mergeCell ref="A51:I51"/>
    <mergeCell ref="D7"/>
    <mergeCell ref="A1:I1"/>
    <mergeCell ref="E6"/>
    <mergeCell ref="B45:F45"/>
    <mergeCell ref="A5"/>
    <mergeCell ref="G5"/>
    <mergeCell ref="A53:I53"/>
    <mergeCell ref="A4:I4"/>
    <mergeCell ref="F6"/>
    <mergeCell ref="C5"/>
    <mergeCell ref="E5"/>
    <mergeCell ref="A29:I29"/>
    <mergeCell ref="B44:F44"/>
    <mergeCell ref="A52:I52"/>
    <mergeCell ref="A6"/>
    <mergeCell ref="F7"/>
    <mergeCell ref="A7"/>
    <mergeCell ref="D6"/>
    <mergeCell ref="G7"/>
    <mergeCell ref="A9:I9"/>
    <mergeCell ref="F5"/>
    <mergeCell ref="G6"/>
    <mergeCell ref="B5"/>
    <mergeCell ref="A50:I50"/>
    <mergeCell ref="D5"/>
    <mergeCell ref="B43:F43"/>
    <mergeCell ref="A2:I2"/>
    <mergeCell ref="B48:F48"/>
    <mergeCell ref="B7"/>
    <mergeCell ref="C6"/>
    <mergeCell ref="A41:I41"/>
    <mergeCell ref="B47:F47"/>
    <mergeCell ref="C7"/>
    <mergeCell ref="B6"/>
    <mergeCell ref="E7"/>
    <mergeCell ref="B46:F46"/>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1"/>
  <sheetViews>
    <sheetView showGridLines="0" workbookViewId="0">
      <selection sqref="A1:D1"/>
    </sheetView>
  </sheetViews>
  <sheetFormatPr defaultRowHeight="14.5" x14ac:dyDescent="0.35"/>
  <cols>
    <col min="1" max="1" width="8" customWidth="1"/>
    <col min="2" max="2" width="22" customWidth="1"/>
    <col min="3" max="3" width="15" customWidth="1"/>
    <col min="4" max="4" width="110" customWidth="1"/>
  </cols>
  <sheetData>
    <row r="1" spans="1:4" ht="30" customHeight="1" x14ac:dyDescent="0.35">
      <c r="A1" s="140" t="s">
        <v>2070</v>
      </c>
      <c r="B1" s="120"/>
      <c r="C1" s="120"/>
      <c r="D1" s="120"/>
    </row>
    <row r="2" spans="1:4" ht="18" customHeight="1" x14ac:dyDescent="0.35">
      <c r="A2" s="138" t="s">
        <v>2071</v>
      </c>
      <c r="B2" s="120"/>
      <c r="C2" s="120"/>
      <c r="D2" s="120"/>
    </row>
    <row r="4" spans="1:4" ht="30" customHeight="1" x14ac:dyDescent="0.35">
      <c r="A4" s="60" t="s">
        <v>271</v>
      </c>
      <c r="B4" s="60" t="s">
        <v>2072</v>
      </c>
      <c r="C4" s="60" t="s">
        <v>26</v>
      </c>
      <c r="D4" s="60" t="s">
        <v>2073</v>
      </c>
    </row>
    <row r="5" spans="1:4" ht="42" customHeight="1" x14ac:dyDescent="0.35">
      <c r="A5" s="53" t="s">
        <v>300</v>
      </c>
      <c r="B5" s="62" t="s">
        <v>2074</v>
      </c>
      <c r="C5" s="110" t="s">
        <v>315</v>
      </c>
      <c r="D5" s="76" t="s">
        <v>2075</v>
      </c>
    </row>
    <row r="6" spans="1:4" ht="42" customHeight="1" x14ac:dyDescent="0.35">
      <c r="A6" s="53" t="s">
        <v>391</v>
      </c>
      <c r="B6" s="62" t="s">
        <v>2076</v>
      </c>
      <c r="C6" s="110" t="s">
        <v>499</v>
      </c>
      <c r="D6" s="76" t="s">
        <v>2077</v>
      </c>
    </row>
    <row r="7" spans="1:4" ht="42" customHeight="1" x14ac:dyDescent="0.35">
      <c r="A7" s="53" t="s">
        <v>2078</v>
      </c>
      <c r="B7" s="62" t="s">
        <v>2076</v>
      </c>
      <c r="C7" s="110" t="s">
        <v>499</v>
      </c>
      <c r="D7" s="76" t="s">
        <v>2079</v>
      </c>
    </row>
    <row r="8" spans="1:4" ht="42" customHeight="1" x14ac:dyDescent="0.35">
      <c r="A8" s="53" t="s">
        <v>1712</v>
      </c>
      <c r="B8" s="62" t="s">
        <v>2080</v>
      </c>
      <c r="C8" s="110" t="s">
        <v>499</v>
      </c>
      <c r="D8" s="76" t="s">
        <v>2081</v>
      </c>
    </row>
    <row r="9" spans="1:4" ht="42" customHeight="1" x14ac:dyDescent="0.35">
      <c r="A9" s="53" t="s">
        <v>1725</v>
      </c>
      <c r="B9" s="62" t="s">
        <v>2082</v>
      </c>
      <c r="C9" s="110" t="s">
        <v>499</v>
      </c>
      <c r="D9" s="76" t="s">
        <v>2083</v>
      </c>
    </row>
    <row r="10" spans="1:4" ht="42" customHeight="1" x14ac:dyDescent="0.35">
      <c r="A10" s="53" t="s">
        <v>1730</v>
      </c>
      <c r="B10" s="62" t="s">
        <v>2084</v>
      </c>
      <c r="C10" s="110" t="s">
        <v>499</v>
      </c>
      <c r="D10" s="76" t="s">
        <v>2085</v>
      </c>
    </row>
    <row r="11" spans="1:4" ht="42" customHeight="1" x14ac:dyDescent="0.35">
      <c r="A11" s="53" t="s">
        <v>1735</v>
      </c>
      <c r="B11" s="62" t="s">
        <v>2086</v>
      </c>
      <c r="C11" s="110" t="s">
        <v>499</v>
      </c>
      <c r="D11" s="76" t="s">
        <v>2087</v>
      </c>
    </row>
    <row r="12" spans="1:4" ht="42" customHeight="1" x14ac:dyDescent="0.35">
      <c r="A12" s="53" t="s">
        <v>1744</v>
      </c>
      <c r="B12" s="62" t="s">
        <v>2088</v>
      </c>
      <c r="C12" s="110" t="s">
        <v>499</v>
      </c>
      <c r="D12" s="76" t="s">
        <v>2089</v>
      </c>
    </row>
    <row r="13" spans="1:4" ht="42" customHeight="1" x14ac:dyDescent="0.35">
      <c r="A13" s="53" t="s">
        <v>2090</v>
      </c>
      <c r="B13" s="62" t="s">
        <v>2091</v>
      </c>
      <c r="C13" s="110" t="s">
        <v>499</v>
      </c>
      <c r="D13" s="76" t="s">
        <v>2092</v>
      </c>
    </row>
    <row r="14" spans="1:4" ht="42" customHeight="1" x14ac:dyDescent="0.35">
      <c r="A14" s="53" t="s">
        <v>2093</v>
      </c>
      <c r="B14" s="62" t="s">
        <v>2091</v>
      </c>
      <c r="C14" s="110" t="s">
        <v>499</v>
      </c>
      <c r="D14" s="76" t="s">
        <v>2094</v>
      </c>
    </row>
    <row r="15" spans="1:4" ht="42" customHeight="1" x14ac:dyDescent="0.35">
      <c r="A15" s="53" t="s">
        <v>1759</v>
      </c>
      <c r="B15" s="62" t="s">
        <v>2095</v>
      </c>
      <c r="C15" s="110" t="s">
        <v>499</v>
      </c>
      <c r="D15" s="76" t="s">
        <v>2096</v>
      </c>
    </row>
    <row r="17" spans="1:4" ht="22" customHeight="1" x14ac:dyDescent="0.35">
      <c r="A17" s="141" t="s">
        <v>2097</v>
      </c>
      <c r="B17" s="120"/>
      <c r="C17" s="120"/>
      <c r="D17" s="120"/>
    </row>
    <row r="18" spans="1:4" ht="32" customHeight="1" x14ac:dyDescent="0.35">
      <c r="A18" s="45" t="s">
        <v>2098</v>
      </c>
      <c r="B18" s="144" t="s">
        <v>2099</v>
      </c>
      <c r="C18" s="145"/>
      <c r="D18" s="145"/>
    </row>
    <row r="19" spans="1:4" ht="32" customHeight="1" x14ac:dyDescent="0.35">
      <c r="A19" s="45" t="s">
        <v>2100</v>
      </c>
      <c r="B19" s="144" t="s">
        <v>2101</v>
      </c>
      <c r="C19" s="145"/>
      <c r="D19" s="145"/>
    </row>
    <row r="20" spans="1:4" ht="32" customHeight="1" x14ac:dyDescent="0.35">
      <c r="A20" s="45" t="s">
        <v>2102</v>
      </c>
      <c r="B20" s="144" t="s">
        <v>2103</v>
      </c>
      <c r="C20" s="145"/>
      <c r="D20" s="145"/>
    </row>
    <row r="21" spans="1:4" ht="32" customHeight="1" x14ac:dyDescent="0.35">
      <c r="A21" s="45" t="s">
        <v>2104</v>
      </c>
      <c r="B21" s="144" t="s">
        <v>2105</v>
      </c>
      <c r="C21" s="145"/>
      <c r="D21" s="145"/>
    </row>
  </sheetData>
  <mergeCells count="7">
    <mergeCell ref="A1:D1"/>
    <mergeCell ref="A17:D17"/>
    <mergeCell ref="B19:D19"/>
    <mergeCell ref="B18:D18"/>
    <mergeCell ref="B21:D21"/>
    <mergeCell ref="A2:D2"/>
    <mergeCell ref="B20:D20"/>
  </mergeCells>
  <conditionalFormatting sqref="C5:C15">
    <cfRule type="cellIs" dxfId="2" priority="1" operator="equal">
      <formula>"Pending"</formula>
    </cfRule>
    <cfRule type="cellIs" dxfId="1" priority="2" operator="equal">
      <formula>"In progress"</formula>
    </cfRule>
    <cfRule type="cellIs" dxfId="0" priority="3" operator="equal">
      <formula>"Passed"</formula>
    </cfRule>
  </conditionalFormatting>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56"/>
  <sheetViews>
    <sheetView showGridLines="0" workbookViewId="0">
      <selection sqref="A1:X1"/>
    </sheetView>
  </sheetViews>
  <sheetFormatPr defaultRowHeight="14.5" x14ac:dyDescent="0.35"/>
  <cols>
    <col min="1" max="24" width="5.6328125" customWidth="1"/>
  </cols>
  <sheetData>
    <row r="1" spans="1:24" ht="30" customHeight="1" x14ac:dyDescent="0.35">
      <c r="A1" s="140" t="s">
        <v>2106</v>
      </c>
      <c r="B1" s="120"/>
      <c r="C1" s="120"/>
      <c r="D1" s="120"/>
      <c r="E1" s="120"/>
      <c r="F1" s="120"/>
      <c r="G1" s="120"/>
      <c r="H1" s="120"/>
      <c r="I1" s="120"/>
      <c r="J1" s="120"/>
      <c r="K1" s="120"/>
      <c r="L1" s="120"/>
      <c r="M1" s="120"/>
      <c r="N1" s="120"/>
      <c r="O1" s="120"/>
      <c r="P1" s="120"/>
      <c r="Q1" s="120"/>
      <c r="R1" s="120"/>
      <c r="S1" s="120"/>
      <c r="T1" s="120"/>
      <c r="U1" s="120"/>
      <c r="V1" s="120"/>
      <c r="W1" s="120"/>
      <c r="X1" s="120"/>
    </row>
    <row r="2" spans="1:24" ht="18" customHeight="1" x14ac:dyDescent="0.35">
      <c r="A2" s="138" t="s">
        <v>2107</v>
      </c>
      <c r="B2" s="120"/>
      <c r="C2" s="120"/>
      <c r="D2" s="120"/>
      <c r="E2" s="120"/>
      <c r="F2" s="120"/>
      <c r="G2" s="120"/>
      <c r="H2" s="120"/>
      <c r="I2" s="120"/>
      <c r="J2" s="120"/>
      <c r="K2" s="120"/>
      <c r="L2" s="120"/>
      <c r="M2" s="120"/>
      <c r="N2" s="120"/>
      <c r="O2" s="120"/>
      <c r="P2" s="120"/>
      <c r="Q2" s="120"/>
      <c r="R2" s="120"/>
      <c r="S2" s="120"/>
      <c r="T2" s="120"/>
      <c r="U2" s="120"/>
      <c r="V2" s="120"/>
      <c r="W2" s="120"/>
      <c r="X2" s="120"/>
    </row>
    <row r="4" spans="1:24" ht="26" customHeight="1" x14ac:dyDescent="0.35">
      <c r="A4" s="158" t="str">
        <f>COUNTIF('Board Tasks'!$F$3:$F$156,"Not started")&amp;"  Not started"</f>
        <v>65  Not started</v>
      </c>
      <c r="B4" s="159"/>
      <c r="C4" s="159"/>
      <c r="D4" s="159"/>
      <c r="E4" s="158" t="str">
        <f>COUNTIF('Board Tasks'!$F$3:$F$156,"In progress")&amp;"  In progress"</f>
        <v>13  In progress</v>
      </c>
      <c r="F4" s="159"/>
      <c r="G4" s="159"/>
      <c r="H4" s="159"/>
      <c r="I4" s="158" t="str">
        <f>COUNTIF('Board Tasks'!$F$3:$F$156,"Authored offline (validated, not live)")&amp;"  Authored offline (validated, not live)"</f>
        <v>9  Authored offline (validated, not live)</v>
      </c>
      <c r="J4" s="159"/>
      <c r="K4" s="159"/>
      <c r="L4" s="159"/>
      <c r="M4" s="158" t="str">
        <f>COUNTIF('Board Tasks'!$F$3:$F$156,"Blocked")&amp;"  Blocked"</f>
        <v>3  Blocked</v>
      </c>
      <c r="N4" s="159"/>
      <c r="O4" s="159"/>
      <c r="P4" s="159"/>
      <c r="Q4" s="158" t="str">
        <f>COUNTIF('Board Tasks'!$F$3:$F$156,"Gated by Build Option")&amp;"  Gated by Build Option"</f>
        <v>3  Gated by Build Option</v>
      </c>
      <c r="R4" s="159"/>
      <c r="S4" s="159"/>
      <c r="T4" s="159"/>
      <c r="U4" s="177" t="str">
        <f>COUNTIF('Board Tasks'!$F$3:$F$156,"Done")&amp;"  Done"</f>
        <v>59  Done</v>
      </c>
      <c r="V4" s="178"/>
      <c r="W4" s="178"/>
      <c r="X4" s="178"/>
    </row>
    <row r="5" spans="1:24" ht="20" customHeight="1" x14ac:dyDescent="0.35">
      <c r="A5" s="150" t="str">
        <f>ROUND(SUMIF('Board Tasks'!$F$3:$F$156,"Not started",'Board Tasks'!$D$3:$D$156),2)&amp;" pd"</f>
        <v>100 pd</v>
      </c>
      <c r="B5" s="151"/>
      <c r="C5" s="151"/>
      <c r="D5" s="151"/>
      <c r="E5" s="150" t="str">
        <f>ROUND(SUMIF('Board Tasks'!$F$3:$F$156,"In progress",'Board Tasks'!$D$3:$D$156),2)&amp;" pd"</f>
        <v>43.75 pd</v>
      </c>
      <c r="F5" s="151"/>
      <c r="G5" s="151"/>
      <c r="H5" s="151"/>
      <c r="I5" s="150" t="str">
        <f>ROUND(SUMIF('Board Tasks'!$F$3:$F$156,"Authored offline (validated, not live)",'Board Tasks'!$D$3:$D$156),2)&amp;" pd"</f>
        <v>17.75 pd</v>
      </c>
      <c r="J5" s="151"/>
      <c r="K5" s="151"/>
      <c r="L5" s="151"/>
      <c r="M5" s="150" t="str">
        <f>ROUND(SUMIF('Board Tasks'!$F$3:$F$156,"Blocked",'Board Tasks'!$D$3:$D$156),2)&amp;" pd"</f>
        <v>3 pd</v>
      </c>
      <c r="N5" s="151"/>
      <c r="O5" s="151"/>
      <c r="P5" s="151"/>
      <c r="Q5" s="150" t="str">
        <f>ROUND(SUMIF('Board Tasks'!$F$3:$F$156,"Gated by Build Option",'Board Tasks'!$D$3:$D$156),2)&amp;" pd"</f>
        <v>15 pd</v>
      </c>
      <c r="R5" s="151"/>
      <c r="S5" s="151"/>
      <c r="T5" s="151"/>
      <c r="U5" s="150" t="str">
        <f>ROUND(SUMIF('Board Tasks'!$F$3:$F$156,"Done",'Board Tasks'!$D$3:$D$156),2)&amp;" pd"</f>
        <v>137 pd</v>
      </c>
      <c r="V5" s="151"/>
      <c r="W5" s="151"/>
      <c r="X5" s="151"/>
    </row>
    <row r="6" spans="1:24" ht="13" customHeight="1" x14ac:dyDescent="0.35">
      <c r="A6" s="170" t="s">
        <v>2108</v>
      </c>
      <c r="B6" s="157"/>
      <c r="C6" s="157"/>
      <c r="D6" s="157"/>
      <c r="E6" s="171" t="s">
        <v>2109</v>
      </c>
      <c r="F6" s="164"/>
      <c r="G6" s="164"/>
      <c r="H6" s="164"/>
      <c r="I6" s="174" t="s">
        <v>2110</v>
      </c>
      <c r="J6" s="153"/>
      <c r="K6" s="153"/>
      <c r="L6" s="153"/>
      <c r="M6" s="181" t="s">
        <v>2111</v>
      </c>
      <c r="N6" s="162"/>
      <c r="O6" s="162"/>
      <c r="P6" s="162"/>
      <c r="Q6" s="175" t="s">
        <v>2112</v>
      </c>
      <c r="R6" s="169"/>
      <c r="S6" s="169"/>
      <c r="T6" s="169"/>
      <c r="U6" s="154" t="s">
        <v>2113</v>
      </c>
      <c r="V6" s="155"/>
      <c r="W6" s="155"/>
      <c r="X6" s="155"/>
    </row>
    <row r="7" spans="1:24" ht="26" customHeight="1" x14ac:dyDescent="0.35">
      <c r="A7" s="165" t="s">
        <v>322</v>
      </c>
      <c r="B7" s="157"/>
      <c r="C7" s="157"/>
      <c r="D7" s="157"/>
      <c r="E7" s="166" t="s">
        <v>314</v>
      </c>
      <c r="F7" s="164"/>
      <c r="G7" s="164"/>
      <c r="H7" s="164"/>
      <c r="I7" s="172" t="s">
        <v>1911</v>
      </c>
      <c r="J7" s="153"/>
      <c r="K7" s="153"/>
      <c r="L7" s="153"/>
      <c r="M7" s="173" t="s">
        <v>346</v>
      </c>
      <c r="N7" s="162"/>
      <c r="O7" s="162"/>
      <c r="P7" s="162"/>
      <c r="Q7" s="168" t="s">
        <v>1927</v>
      </c>
      <c r="R7" s="169"/>
      <c r="S7" s="169"/>
      <c r="T7" s="169"/>
      <c r="U7" s="167" t="s">
        <v>295</v>
      </c>
      <c r="V7" s="155"/>
      <c r="W7" s="155"/>
      <c r="X7" s="155"/>
    </row>
    <row r="8" spans="1:24" ht="13" customHeight="1" x14ac:dyDescent="0.35">
      <c r="A8" s="156" t="s">
        <v>2114</v>
      </c>
      <c r="B8" s="157"/>
      <c r="C8" s="157"/>
      <c r="D8" s="157"/>
      <c r="E8" s="163" t="s">
        <v>2114</v>
      </c>
      <c r="F8" s="164"/>
      <c r="G8" s="164"/>
      <c r="H8" s="164"/>
      <c r="I8" s="152" t="s">
        <v>2115</v>
      </c>
      <c r="J8" s="153"/>
      <c r="K8" s="153"/>
      <c r="L8" s="153"/>
      <c r="M8" s="161" t="s">
        <v>2114</v>
      </c>
      <c r="N8" s="162"/>
      <c r="O8" s="162"/>
      <c r="P8" s="162"/>
      <c r="Q8" s="176" t="s">
        <v>2116</v>
      </c>
      <c r="R8" s="169"/>
      <c r="S8" s="169"/>
      <c r="T8" s="169"/>
      <c r="U8" s="160" t="s">
        <v>2114</v>
      </c>
      <c r="V8" s="155"/>
      <c r="W8" s="155"/>
      <c r="X8" s="155"/>
    </row>
    <row r="9" spans="1:24" ht="13" customHeight="1" x14ac:dyDescent="0.35">
      <c r="A9" s="170" t="s">
        <v>2117</v>
      </c>
      <c r="B9" s="157"/>
      <c r="C9" s="157"/>
      <c r="D9" s="157"/>
      <c r="E9" s="171" t="s">
        <v>2118</v>
      </c>
      <c r="F9" s="164"/>
      <c r="G9" s="164"/>
      <c r="H9" s="164"/>
      <c r="I9" s="174" t="s">
        <v>2119</v>
      </c>
      <c r="J9" s="153"/>
      <c r="K9" s="153"/>
      <c r="L9" s="153"/>
      <c r="M9" s="181" t="s">
        <v>2120</v>
      </c>
      <c r="N9" s="162"/>
      <c r="O9" s="162"/>
      <c r="P9" s="162"/>
      <c r="Q9" s="175" t="s">
        <v>2121</v>
      </c>
      <c r="R9" s="169"/>
      <c r="S9" s="169"/>
      <c r="T9" s="169"/>
      <c r="U9" s="154" t="s">
        <v>2122</v>
      </c>
      <c r="V9" s="155"/>
      <c r="W9" s="155"/>
      <c r="X9" s="155"/>
    </row>
    <row r="10" spans="1:24" ht="26" customHeight="1" x14ac:dyDescent="0.35">
      <c r="A10" s="165" t="s">
        <v>331</v>
      </c>
      <c r="B10" s="157"/>
      <c r="C10" s="157"/>
      <c r="D10" s="157"/>
      <c r="E10" s="166" t="s">
        <v>317</v>
      </c>
      <c r="F10" s="164"/>
      <c r="G10" s="164"/>
      <c r="H10" s="164"/>
      <c r="I10" s="172" t="s">
        <v>355</v>
      </c>
      <c r="J10" s="153"/>
      <c r="K10" s="153"/>
      <c r="L10" s="153"/>
      <c r="M10" s="173" t="s">
        <v>352</v>
      </c>
      <c r="N10" s="162"/>
      <c r="O10" s="162"/>
      <c r="P10" s="162"/>
      <c r="Q10" s="168" t="s">
        <v>1930</v>
      </c>
      <c r="R10" s="169"/>
      <c r="S10" s="169"/>
      <c r="T10" s="169"/>
      <c r="U10" s="167" t="s">
        <v>312</v>
      </c>
      <c r="V10" s="155"/>
      <c r="W10" s="155"/>
      <c r="X10" s="155"/>
    </row>
    <row r="11" spans="1:24" ht="13" customHeight="1" x14ac:dyDescent="0.35">
      <c r="A11" s="156" t="s">
        <v>2114</v>
      </c>
      <c r="B11" s="157"/>
      <c r="C11" s="157"/>
      <c r="D11" s="157"/>
      <c r="E11" s="163" t="s">
        <v>2114</v>
      </c>
      <c r="F11" s="164"/>
      <c r="G11" s="164"/>
      <c r="H11" s="164"/>
      <c r="I11" s="152" t="s">
        <v>2123</v>
      </c>
      <c r="J11" s="153"/>
      <c r="K11" s="153"/>
      <c r="L11" s="153"/>
      <c r="M11" s="161" t="s">
        <v>2124</v>
      </c>
      <c r="N11" s="162"/>
      <c r="O11" s="162"/>
      <c r="P11" s="162"/>
      <c r="Q11" s="176" t="s">
        <v>2125</v>
      </c>
      <c r="R11" s="169"/>
      <c r="S11" s="169"/>
      <c r="T11" s="169"/>
      <c r="U11" s="160" t="s">
        <v>2114</v>
      </c>
      <c r="V11" s="155"/>
      <c r="W11" s="155"/>
      <c r="X11" s="155"/>
    </row>
    <row r="12" spans="1:24" ht="13" customHeight="1" x14ac:dyDescent="0.35">
      <c r="A12" s="170" t="s">
        <v>2126</v>
      </c>
      <c r="B12" s="157"/>
      <c r="C12" s="157"/>
      <c r="D12" s="157"/>
      <c r="E12" s="171" t="s">
        <v>2127</v>
      </c>
      <c r="F12" s="164"/>
      <c r="G12" s="164"/>
      <c r="H12" s="164"/>
      <c r="I12" s="174" t="s">
        <v>2128</v>
      </c>
      <c r="J12" s="153"/>
      <c r="K12" s="153"/>
      <c r="L12" s="153"/>
      <c r="M12" s="181" t="s">
        <v>2129</v>
      </c>
      <c r="N12" s="162"/>
      <c r="O12" s="162"/>
      <c r="P12" s="162"/>
      <c r="Q12" s="175" t="s">
        <v>2130</v>
      </c>
      <c r="R12" s="169"/>
      <c r="S12" s="169"/>
      <c r="T12" s="169"/>
      <c r="U12" s="154" t="s">
        <v>2131</v>
      </c>
      <c r="V12" s="155"/>
      <c r="W12" s="155"/>
      <c r="X12" s="155"/>
    </row>
    <row r="13" spans="1:24" ht="26" customHeight="1" x14ac:dyDescent="0.35">
      <c r="A13" s="165" t="s">
        <v>336</v>
      </c>
      <c r="B13" s="157"/>
      <c r="C13" s="157"/>
      <c r="D13" s="157"/>
      <c r="E13" s="166" t="s">
        <v>379</v>
      </c>
      <c r="F13" s="164"/>
      <c r="G13" s="164"/>
      <c r="H13" s="164"/>
      <c r="I13" s="172" t="s">
        <v>1913</v>
      </c>
      <c r="J13" s="153"/>
      <c r="K13" s="153"/>
      <c r="L13" s="153"/>
      <c r="M13" s="173" t="s">
        <v>341</v>
      </c>
      <c r="N13" s="162"/>
      <c r="O13" s="162"/>
      <c r="P13" s="162"/>
      <c r="Q13" s="168" t="s">
        <v>1933</v>
      </c>
      <c r="R13" s="169"/>
      <c r="S13" s="169"/>
      <c r="T13" s="169"/>
      <c r="U13" s="167" t="s">
        <v>344</v>
      </c>
      <c r="V13" s="155"/>
      <c r="W13" s="155"/>
      <c r="X13" s="155"/>
    </row>
    <row r="14" spans="1:24" ht="13" customHeight="1" x14ac:dyDescent="0.35">
      <c r="A14" s="156" t="s">
        <v>2124</v>
      </c>
      <c r="B14" s="157"/>
      <c r="C14" s="157"/>
      <c r="D14" s="157"/>
      <c r="E14" s="163" t="s">
        <v>2132</v>
      </c>
      <c r="F14" s="164"/>
      <c r="G14" s="164"/>
      <c r="H14" s="164"/>
      <c r="I14" s="152" t="s">
        <v>2133</v>
      </c>
      <c r="J14" s="153"/>
      <c r="K14" s="153"/>
      <c r="L14" s="153"/>
      <c r="M14" s="161" t="s">
        <v>2114</v>
      </c>
      <c r="N14" s="162"/>
      <c r="O14" s="162"/>
      <c r="P14" s="162"/>
      <c r="Q14" s="176" t="s">
        <v>2125</v>
      </c>
      <c r="R14" s="169"/>
      <c r="S14" s="169"/>
      <c r="T14" s="169"/>
      <c r="U14" s="160" t="s">
        <v>2114</v>
      </c>
      <c r="V14" s="155"/>
      <c r="W14" s="155"/>
      <c r="X14" s="155"/>
    </row>
    <row r="15" spans="1:24" ht="13" customHeight="1" x14ac:dyDescent="0.35">
      <c r="A15" s="170" t="s">
        <v>2134</v>
      </c>
      <c r="B15" s="157"/>
      <c r="C15" s="157"/>
      <c r="D15" s="157"/>
      <c r="E15" s="171" t="s">
        <v>2135</v>
      </c>
      <c r="F15" s="164"/>
      <c r="G15" s="164"/>
      <c r="H15" s="164"/>
      <c r="I15" s="174" t="s">
        <v>2136</v>
      </c>
      <c r="J15" s="153"/>
      <c r="K15" s="153"/>
      <c r="L15" s="153"/>
      <c r="U15" s="154" t="s">
        <v>2137</v>
      </c>
      <c r="V15" s="155"/>
      <c r="W15" s="155"/>
      <c r="X15" s="155"/>
    </row>
    <row r="16" spans="1:24" ht="26" customHeight="1" x14ac:dyDescent="0.35">
      <c r="A16" s="165" t="s">
        <v>338</v>
      </c>
      <c r="B16" s="157"/>
      <c r="C16" s="157"/>
      <c r="D16" s="157"/>
      <c r="E16" s="166" t="s">
        <v>385</v>
      </c>
      <c r="F16" s="164"/>
      <c r="G16" s="164"/>
      <c r="H16" s="164"/>
      <c r="I16" s="172" t="s">
        <v>1915</v>
      </c>
      <c r="J16" s="153"/>
      <c r="K16" s="153"/>
      <c r="L16" s="153"/>
      <c r="U16" s="167" t="s">
        <v>348</v>
      </c>
      <c r="V16" s="155"/>
      <c r="W16" s="155"/>
      <c r="X16" s="155"/>
    </row>
    <row r="17" spans="1:24" ht="13" customHeight="1" x14ac:dyDescent="0.35">
      <c r="A17" s="156" t="s">
        <v>2124</v>
      </c>
      <c r="B17" s="157"/>
      <c r="C17" s="157"/>
      <c r="D17" s="157"/>
      <c r="E17" s="163" t="s">
        <v>2132</v>
      </c>
      <c r="F17" s="164"/>
      <c r="G17" s="164"/>
      <c r="H17" s="164"/>
      <c r="I17" s="152" t="s">
        <v>2133</v>
      </c>
      <c r="J17" s="153"/>
      <c r="K17" s="153"/>
      <c r="L17" s="153"/>
      <c r="U17" s="160" t="s">
        <v>2114</v>
      </c>
      <c r="V17" s="155"/>
      <c r="W17" s="155"/>
      <c r="X17" s="155"/>
    </row>
    <row r="18" spans="1:24" ht="13" customHeight="1" x14ac:dyDescent="0.35">
      <c r="A18" s="170" t="s">
        <v>2138</v>
      </c>
      <c r="B18" s="157"/>
      <c r="C18" s="157"/>
      <c r="D18" s="157"/>
      <c r="E18" s="171" t="s">
        <v>2139</v>
      </c>
      <c r="F18" s="164"/>
      <c r="G18" s="164"/>
      <c r="H18" s="164"/>
      <c r="I18" s="174" t="s">
        <v>2140</v>
      </c>
      <c r="J18" s="153"/>
      <c r="K18" s="153"/>
      <c r="L18" s="153"/>
      <c r="U18" s="154" t="s">
        <v>2141</v>
      </c>
      <c r="V18" s="155"/>
      <c r="W18" s="155"/>
      <c r="X18" s="155"/>
    </row>
    <row r="19" spans="1:24" ht="26" customHeight="1" x14ac:dyDescent="0.35">
      <c r="A19" s="165" t="s">
        <v>333</v>
      </c>
      <c r="B19" s="157"/>
      <c r="C19" s="157"/>
      <c r="D19" s="157"/>
      <c r="E19" s="166" t="s">
        <v>397</v>
      </c>
      <c r="F19" s="164"/>
      <c r="G19" s="164"/>
      <c r="H19" s="164"/>
      <c r="I19" s="172" t="s">
        <v>1917</v>
      </c>
      <c r="J19" s="153"/>
      <c r="K19" s="153"/>
      <c r="L19" s="153"/>
      <c r="U19" s="167" t="s">
        <v>350</v>
      </c>
      <c r="V19" s="155"/>
      <c r="W19" s="155"/>
      <c r="X19" s="155"/>
    </row>
    <row r="20" spans="1:24" ht="13" customHeight="1" x14ac:dyDescent="0.35">
      <c r="A20" s="156" t="s">
        <v>2124</v>
      </c>
      <c r="B20" s="157"/>
      <c r="C20" s="157"/>
      <c r="D20" s="157"/>
      <c r="E20" s="163" t="s">
        <v>2132</v>
      </c>
      <c r="F20" s="164"/>
      <c r="G20" s="164"/>
      <c r="H20" s="164"/>
      <c r="I20" s="152" t="s">
        <v>2133</v>
      </c>
      <c r="J20" s="153"/>
      <c r="K20" s="153"/>
      <c r="L20" s="153"/>
      <c r="U20" s="160" t="s">
        <v>2114</v>
      </c>
      <c r="V20" s="155"/>
      <c r="W20" s="155"/>
      <c r="X20" s="155"/>
    </row>
    <row r="21" spans="1:24" ht="13" customHeight="1" x14ac:dyDescent="0.35">
      <c r="A21" s="170" t="s">
        <v>2142</v>
      </c>
      <c r="B21" s="157"/>
      <c r="C21" s="157"/>
      <c r="D21" s="157"/>
      <c r="E21" s="171" t="s">
        <v>2143</v>
      </c>
      <c r="F21" s="164"/>
      <c r="G21" s="164"/>
      <c r="H21" s="164"/>
      <c r="I21" s="174" t="s">
        <v>2144</v>
      </c>
      <c r="J21" s="153"/>
      <c r="K21" s="153"/>
      <c r="L21" s="153"/>
      <c r="U21" s="154" t="s">
        <v>2145</v>
      </c>
      <c r="V21" s="155"/>
      <c r="W21" s="155"/>
      <c r="X21" s="155"/>
    </row>
    <row r="22" spans="1:24" ht="26" customHeight="1" x14ac:dyDescent="0.35">
      <c r="A22" s="165" t="s">
        <v>1773</v>
      </c>
      <c r="B22" s="157"/>
      <c r="C22" s="157"/>
      <c r="D22" s="157"/>
      <c r="E22" s="166" t="s">
        <v>1893</v>
      </c>
      <c r="F22" s="164"/>
      <c r="G22" s="164"/>
      <c r="H22" s="164"/>
      <c r="I22" s="172" t="s">
        <v>1919</v>
      </c>
      <c r="J22" s="153"/>
      <c r="K22" s="153"/>
      <c r="L22" s="153"/>
      <c r="U22" s="167" t="s">
        <v>328</v>
      </c>
      <c r="V22" s="155"/>
      <c r="W22" s="155"/>
      <c r="X22" s="155"/>
    </row>
    <row r="23" spans="1:24" ht="13" customHeight="1" x14ac:dyDescent="0.35">
      <c r="A23" s="156" t="s">
        <v>2124</v>
      </c>
      <c r="B23" s="157"/>
      <c r="C23" s="157"/>
      <c r="D23" s="157"/>
      <c r="E23" s="163" t="s">
        <v>2133</v>
      </c>
      <c r="F23" s="164"/>
      <c r="G23" s="164"/>
      <c r="H23" s="164"/>
      <c r="I23" s="152" t="s">
        <v>2133</v>
      </c>
      <c r="J23" s="153"/>
      <c r="K23" s="153"/>
      <c r="L23" s="153"/>
      <c r="U23" s="160" t="s">
        <v>2114</v>
      </c>
      <c r="V23" s="155"/>
      <c r="W23" s="155"/>
      <c r="X23" s="155"/>
    </row>
    <row r="24" spans="1:24" ht="13" customHeight="1" x14ac:dyDescent="0.35">
      <c r="A24" s="170" t="s">
        <v>2146</v>
      </c>
      <c r="B24" s="157"/>
      <c r="C24" s="157"/>
      <c r="D24" s="157"/>
      <c r="E24" s="171" t="s">
        <v>2147</v>
      </c>
      <c r="F24" s="164"/>
      <c r="G24" s="164"/>
      <c r="H24" s="164"/>
      <c r="I24" s="174" t="s">
        <v>2148</v>
      </c>
      <c r="J24" s="153"/>
      <c r="K24" s="153"/>
      <c r="L24" s="153"/>
      <c r="U24" s="154" t="s">
        <v>2149</v>
      </c>
      <c r="V24" s="155"/>
      <c r="W24" s="155"/>
      <c r="X24" s="155"/>
    </row>
    <row r="25" spans="1:24" ht="26" customHeight="1" x14ac:dyDescent="0.35">
      <c r="A25" s="165" t="s">
        <v>326</v>
      </c>
      <c r="B25" s="157"/>
      <c r="C25" s="157"/>
      <c r="D25" s="157"/>
      <c r="E25" s="166" t="s">
        <v>1895</v>
      </c>
      <c r="F25" s="164"/>
      <c r="G25" s="164"/>
      <c r="H25" s="164"/>
      <c r="I25" s="172" t="s">
        <v>1921</v>
      </c>
      <c r="J25" s="153"/>
      <c r="K25" s="153"/>
      <c r="L25" s="153"/>
      <c r="U25" s="167" t="s">
        <v>307</v>
      </c>
      <c r="V25" s="155"/>
      <c r="W25" s="155"/>
      <c r="X25" s="155"/>
    </row>
    <row r="26" spans="1:24" ht="13" customHeight="1" x14ac:dyDescent="0.35">
      <c r="A26" s="156" t="s">
        <v>2114</v>
      </c>
      <c r="B26" s="157"/>
      <c r="C26" s="157"/>
      <c r="D26" s="157"/>
      <c r="E26" s="163" t="s">
        <v>2133</v>
      </c>
      <c r="F26" s="164"/>
      <c r="G26" s="164"/>
      <c r="H26" s="164"/>
      <c r="I26" s="152" t="s">
        <v>2133</v>
      </c>
      <c r="J26" s="153"/>
      <c r="K26" s="153"/>
      <c r="L26" s="153"/>
      <c r="U26" s="160" t="s">
        <v>2114</v>
      </c>
      <c r="V26" s="155"/>
      <c r="W26" s="155"/>
      <c r="X26" s="155"/>
    </row>
    <row r="27" spans="1:24" ht="13" customHeight="1" x14ac:dyDescent="0.35">
      <c r="A27" s="170" t="s">
        <v>2150</v>
      </c>
      <c r="B27" s="157"/>
      <c r="C27" s="157"/>
      <c r="D27" s="157"/>
      <c r="E27" s="171" t="s">
        <v>2151</v>
      </c>
      <c r="F27" s="164"/>
      <c r="G27" s="164"/>
      <c r="H27" s="164"/>
      <c r="I27" s="174" t="s">
        <v>2152</v>
      </c>
      <c r="J27" s="153"/>
      <c r="K27" s="153"/>
      <c r="L27" s="153"/>
      <c r="U27" s="154" t="s">
        <v>2153</v>
      </c>
      <c r="V27" s="155"/>
      <c r="W27" s="155"/>
      <c r="X27" s="155"/>
    </row>
    <row r="28" spans="1:24" ht="26" customHeight="1" x14ac:dyDescent="0.35">
      <c r="A28" s="165" t="s">
        <v>1774</v>
      </c>
      <c r="B28" s="157"/>
      <c r="C28" s="157"/>
      <c r="D28" s="157"/>
      <c r="E28" s="166" t="s">
        <v>1897</v>
      </c>
      <c r="F28" s="164"/>
      <c r="G28" s="164"/>
      <c r="H28" s="164"/>
      <c r="I28" s="172" t="s">
        <v>1923</v>
      </c>
      <c r="J28" s="153"/>
      <c r="K28" s="153"/>
      <c r="L28" s="153"/>
      <c r="U28" s="167" t="s">
        <v>309</v>
      </c>
      <c r="V28" s="155"/>
      <c r="W28" s="155"/>
      <c r="X28" s="155"/>
    </row>
    <row r="29" spans="1:24" ht="13" customHeight="1" x14ac:dyDescent="0.35">
      <c r="A29" s="156" t="s">
        <v>2132</v>
      </c>
      <c r="B29" s="157"/>
      <c r="C29" s="157"/>
      <c r="D29" s="157"/>
      <c r="E29" s="163" t="s">
        <v>2154</v>
      </c>
      <c r="F29" s="164"/>
      <c r="G29" s="164"/>
      <c r="H29" s="164"/>
      <c r="I29" s="152" t="s">
        <v>2133</v>
      </c>
      <c r="J29" s="153"/>
      <c r="K29" s="153"/>
      <c r="L29" s="153"/>
      <c r="U29" s="160" t="s">
        <v>2114</v>
      </c>
      <c r="V29" s="155"/>
      <c r="W29" s="155"/>
      <c r="X29" s="155"/>
    </row>
    <row r="30" spans="1:24" ht="13" customHeight="1" x14ac:dyDescent="0.35">
      <c r="A30" s="170" t="s">
        <v>2155</v>
      </c>
      <c r="B30" s="157"/>
      <c r="C30" s="157"/>
      <c r="D30" s="157"/>
      <c r="E30" s="171" t="s">
        <v>2156</v>
      </c>
      <c r="F30" s="164"/>
      <c r="G30" s="164"/>
      <c r="H30" s="164"/>
      <c r="I30" s="174" t="s">
        <v>2157</v>
      </c>
      <c r="J30" s="153"/>
      <c r="K30" s="153"/>
      <c r="L30" s="153"/>
      <c r="U30" s="154" t="s">
        <v>2158</v>
      </c>
      <c r="V30" s="155"/>
      <c r="W30" s="155"/>
      <c r="X30" s="155"/>
    </row>
    <row r="31" spans="1:24" ht="26" customHeight="1" x14ac:dyDescent="0.35">
      <c r="A31" s="165" t="s">
        <v>1776</v>
      </c>
      <c r="B31" s="157"/>
      <c r="C31" s="157"/>
      <c r="D31" s="157"/>
      <c r="E31" s="166" t="s">
        <v>1900</v>
      </c>
      <c r="F31" s="164"/>
      <c r="G31" s="164"/>
      <c r="H31" s="164"/>
      <c r="I31" s="172" t="s">
        <v>1925</v>
      </c>
      <c r="J31" s="153"/>
      <c r="K31" s="153"/>
      <c r="L31" s="153"/>
      <c r="U31" s="167" t="s">
        <v>305</v>
      </c>
      <c r="V31" s="155"/>
      <c r="W31" s="155"/>
      <c r="X31" s="155"/>
    </row>
    <row r="32" spans="1:24" ht="13" customHeight="1" x14ac:dyDescent="0.35">
      <c r="A32" s="156" t="s">
        <v>2159</v>
      </c>
      <c r="B32" s="157"/>
      <c r="C32" s="157"/>
      <c r="D32" s="157"/>
      <c r="E32" s="163" t="s">
        <v>2154</v>
      </c>
      <c r="F32" s="164"/>
      <c r="G32" s="164"/>
      <c r="H32" s="164"/>
      <c r="I32" s="152" t="s">
        <v>2133</v>
      </c>
      <c r="J32" s="153"/>
      <c r="K32" s="153"/>
      <c r="L32" s="153"/>
      <c r="U32" s="160" t="s">
        <v>2114</v>
      </c>
      <c r="V32" s="155"/>
      <c r="W32" s="155"/>
      <c r="X32" s="155"/>
    </row>
    <row r="33" spans="1:24" ht="13" customHeight="1" x14ac:dyDescent="0.35">
      <c r="A33" s="170" t="s">
        <v>2160</v>
      </c>
      <c r="B33" s="157"/>
      <c r="C33" s="157"/>
      <c r="D33" s="157"/>
      <c r="E33" s="171" t="s">
        <v>2161</v>
      </c>
      <c r="F33" s="164"/>
      <c r="G33" s="164"/>
      <c r="H33" s="164"/>
      <c r="U33" s="154" t="s">
        <v>2162</v>
      </c>
      <c r="V33" s="155"/>
      <c r="W33" s="155"/>
      <c r="X33" s="155"/>
    </row>
    <row r="34" spans="1:24" ht="26" customHeight="1" x14ac:dyDescent="0.35">
      <c r="A34" s="165" t="s">
        <v>1778</v>
      </c>
      <c r="B34" s="157"/>
      <c r="C34" s="157"/>
      <c r="D34" s="157"/>
      <c r="E34" s="166" t="s">
        <v>1902</v>
      </c>
      <c r="F34" s="164"/>
      <c r="G34" s="164"/>
      <c r="H34" s="164"/>
      <c r="U34" s="167" t="s">
        <v>302</v>
      </c>
      <c r="V34" s="155"/>
      <c r="W34" s="155"/>
      <c r="X34" s="155"/>
    </row>
    <row r="35" spans="1:24" ht="13" customHeight="1" x14ac:dyDescent="0.35">
      <c r="A35" s="156" t="s">
        <v>2159</v>
      </c>
      <c r="B35" s="157"/>
      <c r="C35" s="157"/>
      <c r="D35" s="157"/>
      <c r="E35" s="163" t="s">
        <v>2163</v>
      </c>
      <c r="F35" s="164"/>
      <c r="G35" s="164"/>
      <c r="H35" s="164"/>
      <c r="U35" s="160" t="s">
        <v>2114</v>
      </c>
      <c r="V35" s="155"/>
      <c r="W35" s="155"/>
      <c r="X35" s="155"/>
    </row>
    <row r="36" spans="1:24" ht="13" customHeight="1" x14ac:dyDescent="0.35">
      <c r="A36" s="170" t="s">
        <v>2164</v>
      </c>
      <c r="B36" s="157"/>
      <c r="C36" s="157"/>
      <c r="D36" s="157"/>
      <c r="E36" s="171" t="s">
        <v>2165</v>
      </c>
      <c r="F36" s="164"/>
      <c r="G36" s="164"/>
      <c r="H36" s="164"/>
      <c r="U36" s="154" t="s">
        <v>2166</v>
      </c>
      <c r="V36" s="155"/>
      <c r="W36" s="155"/>
      <c r="X36" s="155"/>
    </row>
    <row r="37" spans="1:24" ht="26" customHeight="1" x14ac:dyDescent="0.35">
      <c r="A37" s="165" t="s">
        <v>1780</v>
      </c>
      <c r="B37" s="157"/>
      <c r="C37" s="157"/>
      <c r="D37" s="157"/>
      <c r="E37" s="166" t="s">
        <v>1905</v>
      </c>
      <c r="F37" s="164"/>
      <c r="G37" s="164"/>
      <c r="H37" s="164"/>
      <c r="U37" s="167" t="s">
        <v>320</v>
      </c>
      <c r="V37" s="155"/>
      <c r="W37" s="155"/>
      <c r="X37" s="155"/>
    </row>
    <row r="38" spans="1:24" ht="13" customHeight="1" x14ac:dyDescent="0.35">
      <c r="A38" s="156" t="s">
        <v>2159</v>
      </c>
      <c r="B38" s="157"/>
      <c r="C38" s="157"/>
      <c r="D38" s="157"/>
      <c r="E38" s="163" t="s">
        <v>2167</v>
      </c>
      <c r="F38" s="164"/>
      <c r="G38" s="164"/>
      <c r="H38" s="164"/>
      <c r="U38" s="160" t="s">
        <v>2114</v>
      </c>
      <c r="V38" s="155"/>
      <c r="W38" s="155"/>
      <c r="X38" s="155"/>
    </row>
    <row r="39" spans="1:24" ht="13" customHeight="1" x14ac:dyDescent="0.35">
      <c r="A39" s="170" t="s">
        <v>2168</v>
      </c>
      <c r="B39" s="157"/>
      <c r="C39" s="157"/>
      <c r="D39" s="157"/>
      <c r="E39" s="171" t="s">
        <v>2169</v>
      </c>
      <c r="F39" s="164"/>
      <c r="G39" s="164"/>
      <c r="H39" s="164"/>
      <c r="U39" s="154" t="s">
        <v>2170</v>
      </c>
      <c r="V39" s="155"/>
      <c r="W39" s="155"/>
      <c r="X39" s="155"/>
    </row>
    <row r="40" spans="1:24" ht="26" customHeight="1" x14ac:dyDescent="0.35">
      <c r="A40" s="165" t="s">
        <v>1782</v>
      </c>
      <c r="B40" s="157"/>
      <c r="C40" s="157"/>
      <c r="D40" s="157"/>
      <c r="E40" s="166" t="s">
        <v>1908</v>
      </c>
      <c r="F40" s="164"/>
      <c r="G40" s="164"/>
      <c r="H40" s="164"/>
      <c r="U40" s="167" t="s">
        <v>364</v>
      </c>
      <c r="V40" s="155"/>
      <c r="W40" s="155"/>
      <c r="X40" s="155"/>
    </row>
    <row r="41" spans="1:24" ht="13" customHeight="1" x14ac:dyDescent="0.35">
      <c r="A41" s="156" t="s">
        <v>2171</v>
      </c>
      <c r="B41" s="157"/>
      <c r="C41" s="157"/>
      <c r="D41" s="157"/>
      <c r="E41" s="163" t="s">
        <v>2167</v>
      </c>
      <c r="F41" s="164"/>
      <c r="G41" s="164"/>
      <c r="H41" s="164"/>
      <c r="U41" s="160" t="s">
        <v>2132</v>
      </c>
      <c r="V41" s="155"/>
      <c r="W41" s="155"/>
      <c r="X41" s="155"/>
    </row>
    <row r="42" spans="1:24" ht="13" customHeight="1" x14ac:dyDescent="0.35">
      <c r="A42" s="170" t="s">
        <v>2172</v>
      </c>
      <c r="B42" s="157"/>
      <c r="C42" s="157"/>
      <c r="D42" s="157"/>
      <c r="E42" s="171" t="s">
        <v>2173</v>
      </c>
      <c r="F42" s="164"/>
      <c r="G42" s="164"/>
      <c r="H42" s="164"/>
      <c r="U42" s="154" t="s">
        <v>2174</v>
      </c>
      <c r="V42" s="155"/>
      <c r="W42" s="155"/>
      <c r="X42" s="155"/>
    </row>
    <row r="43" spans="1:24" ht="26" customHeight="1" x14ac:dyDescent="0.35">
      <c r="A43" s="165" t="s">
        <v>1784</v>
      </c>
      <c r="B43" s="157"/>
      <c r="C43" s="157"/>
      <c r="D43" s="157"/>
      <c r="E43" s="166" t="s">
        <v>1910</v>
      </c>
      <c r="F43" s="164"/>
      <c r="G43" s="164"/>
      <c r="H43" s="164"/>
      <c r="U43" s="167" t="s">
        <v>376</v>
      </c>
      <c r="V43" s="155"/>
      <c r="W43" s="155"/>
      <c r="X43" s="155"/>
    </row>
    <row r="44" spans="1:24" ht="13" customHeight="1" x14ac:dyDescent="0.35">
      <c r="A44" s="156" t="s">
        <v>2159</v>
      </c>
      <c r="B44" s="157"/>
      <c r="C44" s="157"/>
      <c r="D44" s="157"/>
      <c r="E44" s="163" t="s">
        <v>2175</v>
      </c>
      <c r="F44" s="164"/>
      <c r="G44" s="164"/>
      <c r="H44" s="164"/>
      <c r="U44" s="160" t="s">
        <v>2132</v>
      </c>
      <c r="V44" s="155"/>
      <c r="W44" s="155"/>
      <c r="X44" s="155"/>
    </row>
    <row r="45" spans="1:24" ht="13" customHeight="1" x14ac:dyDescent="0.35">
      <c r="A45" s="170" t="s">
        <v>2176</v>
      </c>
      <c r="B45" s="157"/>
      <c r="C45" s="157"/>
      <c r="D45" s="157"/>
      <c r="U45" s="154" t="s">
        <v>2177</v>
      </c>
      <c r="V45" s="155"/>
      <c r="W45" s="155"/>
      <c r="X45" s="155"/>
    </row>
    <row r="46" spans="1:24" ht="26" customHeight="1" x14ac:dyDescent="0.35">
      <c r="A46" s="165" t="s">
        <v>1786</v>
      </c>
      <c r="B46" s="157"/>
      <c r="C46" s="157"/>
      <c r="D46" s="157"/>
      <c r="U46" s="167" t="s">
        <v>381</v>
      </c>
      <c r="V46" s="155"/>
      <c r="W46" s="155"/>
      <c r="X46" s="155"/>
    </row>
    <row r="47" spans="1:24" ht="13" customHeight="1" x14ac:dyDescent="0.35">
      <c r="A47" s="156" t="s">
        <v>2159</v>
      </c>
      <c r="B47" s="157"/>
      <c r="C47" s="157"/>
      <c r="D47" s="157"/>
      <c r="U47" s="160" t="s">
        <v>2115</v>
      </c>
      <c r="V47" s="155"/>
      <c r="W47" s="155"/>
      <c r="X47" s="155"/>
    </row>
    <row r="48" spans="1:24" x14ac:dyDescent="0.35">
      <c r="A48" s="179" t="s">
        <v>2178</v>
      </c>
      <c r="B48" s="180"/>
      <c r="C48" s="180"/>
      <c r="D48" s="180"/>
      <c r="U48" s="179" t="s">
        <v>2179</v>
      </c>
      <c r="V48" s="180"/>
      <c r="W48" s="180"/>
      <c r="X48" s="180"/>
    </row>
    <row r="51" spans="1:24" ht="22" customHeight="1" x14ac:dyDescent="0.35">
      <c r="A51" s="141" t="s">
        <v>2180</v>
      </c>
      <c r="B51" s="120"/>
      <c r="C51" s="120"/>
      <c r="D51" s="120"/>
      <c r="E51" s="120"/>
      <c r="F51" s="120"/>
      <c r="G51" s="120"/>
      <c r="H51" s="120"/>
      <c r="I51" s="120"/>
      <c r="J51" s="120"/>
      <c r="K51" s="120"/>
      <c r="L51" s="120"/>
      <c r="M51" s="120"/>
      <c r="N51" s="120"/>
      <c r="O51" s="120"/>
      <c r="P51" s="120"/>
      <c r="Q51" s="120"/>
      <c r="R51" s="120"/>
      <c r="S51" s="120"/>
      <c r="T51" s="120"/>
      <c r="U51" s="120"/>
      <c r="V51" s="120"/>
      <c r="W51" s="120"/>
      <c r="X51" s="120"/>
    </row>
    <row r="52" spans="1:24" x14ac:dyDescent="0.35">
      <c r="A52" s="139" t="s">
        <v>2181</v>
      </c>
      <c r="B52" s="120"/>
      <c r="C52" s="120"/>
      <c r="D52" s="120"/>
      <c r="E52" s="120"/>
      <c r="F52" s="120"/>
      <c r="G52" s="120"/>
      <c r="H52" s="120"/>
      <c r="I52" s="120"/>
      <c r="J52" s="120"/>
      <c r="K52" s="120"/>
      <c r="L52" s="120"/>
      <c r="M52" s="120"/>
      <c r="N52" s="120"/>
      <c r="O52" s="120"/>
      <c r="P52" s="120"/>
      <c r="Q52" s="120"/>
      <c r="R52" s="120"/>
      <c r="S52" s="120"/>
      <c r="T52" s="120"/>
      <c r="U52" s="120"/>
      <c r="V52" s="120"/>
      <c r="W52" s="120"/>
      <c r="X52" s="120"/>
    </row>
    <row r="53" spans="1:24" x14ac:dyDescent="0.35">
      <c r="A53" s="139" t="s">
        <v>2182</v>
      </c>
      <c r="B53" s="120"/>
      <c r="C53" s="120"/>
      <c r="D53" s="120"/>
      <c r="E53" s="120"/>
      <c r="F53" s="120"/>
      <c r="G53" s="120"/>
      <c r="H53" s="120"/>
      <c r="I53" s="120"/>
      <c r="J53" s="120"/>
      <c r="K53" s="120"/>
      <c r="L53" s="120"/>
      <c r="M53" s="120"/>
      <c r="N53" s="120"/>
      <c r="O53" s="120"/>
      <c r="P53" s="120"/>
      <c r="Q53" s="120"/>
      <c r="R53" s="120"/>
      <c r="S53" s="120"/>
      <c r="T53" s="120"/>
      <c r="U53" s="120"/>
      <c r="V53" s="120"/>
      <c r="W53" s="120"/>
      <c r="X53" s="120"/>
    </row>
    <row r="54" spans="1:24" x14ac:dyDescent="0.35">
      <c r="A54" s="139" t="s">
        <v>2183</v>
      </c>
      <c r="B54" s="120"/>
      <c r="C54" s="120"/>
      <c r="D54" s="120"/>
      <c r="E54" s="120"/>
      <c r="F54" s="120"/>
      <c r="G54" s="120"/>
      <c r="H54" s="120"/>
      <c r="I54" s="120"/>
      <c r="J54" s="120"/>
      <c r="K54" s="120"/>
      <c r="L54" s="120"/>
      <c r="M54" s="120"/>
      <c r="N54" s="120"/>
      <c r="O54" s="120"/>
      <c r="P54" s="120"/>
      <c r="Q54" s="120"/>
      <c r="R54" s="120"/>
      <c r="S54" s="120"/>
      <c r="T54" s="120"/>
      <c r="U54" s="120"/>
      <c r="V54" s="120"/>
      <c r="W54" s="120"/>
      <c r="X54" s="120"/>
    </row>
    <row r="55" spans="1:24" x14ac:dyDescent="0.35">
      <c r="A55" s="139" t="s">
        <v>2184</v>
      </c>
      <c r="B55" s="120"/>
      <c r="C55" s="120"/>
      <c r="D55" s="120"/>
      <c r="E55" s="120"/>
      <c r="F55" s="120"/>
      <c r="G55" s="120"/>
      <c r="H55" s="120"/>
      <c r="I55" s="120"/>
      <c r="J55" s="120"/>
      <c r="K55" s="120"/>
      <c r="L55" s="120"/>
      <c r="M55" s="120"/>
      <c r="N55" s="120"/>
      <c r="O55" s="120"/>
      <c r="P55" s="120"/>
      <c r="Q55" s="120"/>
      <c r="R55" s="120"/>
      <c r="S55" s="120"/>
      <c r="T55" s="120"/>
      <c r="U55" s="120"/>
      <c r="V55" s="120"/>
      <c r="W55" s="120"/>
      <c r="X55" s="120"/>
    </row>
    <row r="56" spans="1:24" x14ac:dyDescent="0.35">
      <c r="A56" s="139" t="s">
        <v>2185</v>
      </c>
      <c r="B56" s="120"/>
      <c r="C56" s="120"/>
      <c r="D56" s="120"/>
      <c r="E56" s="120"/>
      <c r="F56" s="120"/>
      <c r="G56" s="120"/>
      <c r="H56" s="120"/>
      <c r="I56" s="120"/>
      <c r="J56" s="120"/>
      <c r="K56" s="120"/>
      <c r="L56" s="120"/>
      <c r="M56" s="120"/>
      <c r="N56" s="120"/>
      <c r="O56" s="120"/>
      <c r="P56" s="120"/>
      <c r="Q56" s="120"/>
      <c r="R56" s="120"/>
      <c r="S56" s="120"/>
      <c r="T56" s="120"/>
      <c r="U56" s="120"/>
      <c r="V56" s="120"/>
      <c r="W56" s="120"/>
      <c r="X56" s="120"/>
    </row>
  </sheetData>
  <mergeCells count="190">
    <mergeCell ref="A52:X52"/>
    <mergeCell ref="E44:H44"/>
    <mergeCell ref="A25:D25"/>
    <mergeCell ref="U17:X17"/>
    <mergeCell ref="U11:X11"/>
    <mergeCell ref="E19:H19"/>
    <mergeCell ref="E28:H28"/>
    <mergeCell ref="Q10:T10"/>
    <mergeCell ref="I22:L22"/>
    <mergeCell ref="I28:L28"/>
    <mergeCell ref="A18:D18"/>
    <mergeCell ref="I12:L12"/>
    <mergeCell ref="E30:H30"/>
    <mergeCell ref="U12:X12"/>
    <mergeCell ref="E11:H11"/>
    <mergeCell ref="A38:D38"/>
    <mergeCell ref="A43:D43"/>
    <mergeCell ref="E7:H7"/>
    <mergeCell ref="E41:H41"/>
    <mergeCell ref="A40:D40"/>
    <mergeCell ref="U26:X26"/>
    <mergeCell ref="U35:X35"/>
    <mergeCell ref="E43:H43"/>
    <mergeCell ref="U34:X34"/>
    <mergeCell ref="E33:H33"/>
    <mergeCell ref="E42:H42"/>
    <mergeCell ref="I27:L27"/>
    <mergeCell ref="E17:H17"/>
    <mergeCell ref="U27:X27"/>
    <mergeCell ref="Q8:T8"/>
    <mergeCell ref="E35:H35"/>
    <mergeCell ref="U30:X30"/>
    <mergeCell ref="E9:H9"/>
    <mergeCell ref="M12:P12"/>
    <mergeCell ref="U21:X21"/>
    <mergeCell ref="A1:X1"/>
    <mergeCell ref="Q6:T6"/>
    <mergeCell ref="A32:D32"/>
    <mergeCell ref="A14:D14"/>
    <mergeCell ref="I23:L23"/>
    <mergeCell ref="A23:D23"/>
    <mergeCell ref="I8:L8"/>
    <mergeCell ref="A4:D4"/>
    <mergeCell ref="A6:D6"/>
    <mergeCell ref="M6:P6"/>
    <mergeCell ref="I5:L5"/>
    <mergeCell ref="A54:X54"/>
    <mergeCell ref="E16:H16"/>
    <mergeCell ref="E25:H25"/>
    <mergeCell ref="I10:L10"/>
    <mergeCell ref="A10:D10"/>
    <mergeCell ref="I19:L19"/>
    <mergeCell ref="A47:D47"/>
    <mergeCell ref="U10:X10"/>
    <mergeCell ref="A56:X56"/>
    <mergeCell ref="U19:X19"/>
    <mergeCell ref="E18:H18"/>
    <mergeCell ref="U44:X44"/>
    <mergeCell ref="A34:D34"/>
    <mergeCell ref="A39:D39"/>
    <mergeCell ref="I30:L30"/>
    <mergeCell ref="I11:L11"/>
    <mergeCell ref="A36:D36"/>
    <mergeCell ref="A45:D45"/>
    <mergeCell ref="U36:X36"/>
    <mergeCell ref="A53:X53"/>
    <mergeCell ref="E39:H39"/>
    <mergeCell ref="U45:X45"/>
    <mergeCell ref="E20:H20"/>
    <mergeCell ref="M11:P11"/>
    <mergeCell ref="U47:X47"/>
    <mergeCell ref="A26:D26"/>
    <mergeCell ref="M7:P7"/>
    <mergeCell ref="A51:X51"/>
    <mergeCell ref="I24:L24"/>
    <mergeCell ref="U43:X43"/>
    <mergeCell ref="U24:X24"/>
    <mergeCell ref="U18:X18"/>
    <mergeCell ref="U33:X33"/>
    <mergeCell ref="E26:H26"/>
    <mergeCell ref="A8:D8"/>
    <mergeCell ref="I17:L17"/>
    <mergeCell ref="U8:X8"/>
    <mergeCell ref="I9:L9"/>
    <mergeCell ref="U9:X9"/>
    <mergeCell ref="M9:P9"/>
    <mergeCell ref="E29:H29"/>
    <mergeCell ref="Q14:T14"/>
    <mergeCell ref="E13:H13"/>
    <mergeCell ref="A37:D37"/>
    <mergeCell ref="E31:H31"/>
    <mergeCell ref="U37:X37"/>
    <mergeCell ref="A12:D12"/>
    <mergeCell ref="I21:L21"/>
    <mergeCell ref="A2:X2"/>
    <mergeCell ref="A48:D48"/>
    <mergeCell ref="E12:H12"/>
    <mergeCell ref="A30:D30"/>
    <mergeCell ref="U22:X22"/>
    <mergeCell ref="E21:H21"/>
    <mergeCell ref="I6:L6"/>
    <mergeCell ref="I15:L15"/>
    <mergeCell ref="Q12:T12"/>
    <mergeCell ref="A11:D11"/>
    <mergeCell ref="U6:X6"/>
    <mergeCell ref="E5:H5"/>
    <mergeCell ref="U46:X46"/>
    <mergeCell ref="E14:H14"/>
    <mergeCell ref="E23:H23"/>
    <mergeCell ref="E4:H4"/>
    <mergeCell ref="E38:H38"/>
    <mergeCell ref="U48:X48"/>
    <mergeCell ref="I32:L32"/>
    <mergeCell ref="I7:L7"/>
    <mergeCell ref="A46:D46"/>
    <mergeCell ref="U32:X32"/>
    <mergeCell ref="U41:X41"/>
    <mergeCell ref="E40:H40"/>
    <mergeCell ref="A42:D42"/>
    <mergeCell ref="E27:H27"/>
    <mergeCell ref="U28:X28"/>
    <mergeCell ref="E36:H36"/>
    <mergeCell ref="Q9:T9"/>
    <mergeCell ref="U42:X42"/>
    <mergeCell ref="A17:D17"/>
    <mergeCell ref="M8:P8"/>
    <mergeCell ref="A22:D22"/>
    <mergeCell ref="A35:D35"/>
    <mergeCell ref="I20:L20"/>
    <mergeCell ref="Q11:T11"/>
    <mergeCell ref="I29:L29"/>
    <mergeCell ref="A19:D19"/>
    <mergeCell ref="A28:D28"/>
    <mergeCell ref="U20:X20"/>
    <mergeCell ref="U14:X14"/>
    <mergeCell ref="E22:H22"/>
    <mergeCell ref="I13:L13"/>
    <mergeCell ref="A9:D9"/>
    <mergeCell ref="I31:L31"/>
    <mergeCell ref="M13:P13"/>
    <mergeCell ref="A21:D21"/>
    <mergeCell ref="U13:X13"/>
    <mergeCell ref="A44:D44"/>
    <mergeCell ref="A31:D31"/>
    <mergeCell ref="M4:P4"/>
    <mergeCell ref="A55:X55"/>
    <mergeCell ref="U31:X31"/>
    <mergeCell ref="Q13:T13"/>
    <mergeCell ref="Q7:T7"/>
    <mergeCell ref="U40:X40"/>
    <mergeCell ref="A15:D15"/>
    <mergeCell ref="A24:D24"/>
    <mergeCell ref="U15:X15"/>
    <mergeCell ref="E24:H24"/>
    <mergeCell ref="I26:L26"/>
    <mergeCell ref="E8:H8"/>
    <mergeCell ref="A7:D7"/>
    <mergeCell ref="I16:L16"/>
    <mergeCell ref="A41:D41"/>
    <mergeCell ref="A16:D16"/>
    <mergeCell ref="I25:L25"/>
    <mergeCell ref="M10:P10"/>
    <mergeCell ref="E10:H10"/>
    <mergeCell ref="U16:X16"/>
    <mergeCell ref="U25:X25"/>
    <mergeCell ref="A27:D27"/>
    <mergeCell ref="A5:D5"/>
    <mergeCell ref="I14:L14"/>
    <mergeCell ref="U39:X39"/>
    <mergeCell ref="A20:D20"/>
    <mergeCell ref="I4:L4"/>
    <mergeCell ref="A29:D29"/>
    <mergeCell ref="U29:X29"/>
    <mergeCell ref="M14:P14"/>
    <mergeCell ref="E32:H32"/>
    <mergeCell ref="U23:X23"/>
    <mergeCell ref="U38:X38"/>
    <mergeCell ref="A13:D13"/>
    <mergeCell ref="E37:H37"/>
    <mergeCell ref="I18:L18"/>
    <mergeCell ref="E34:H34"/>
    <mergeCell ref="A33:D33"/>
    <mergeCell ref="U5:X5"/>
    <mergeCell ref="U4:X4"/>
    <mergeCell ref="M5:P5"/>
    <mergeCell ref="Q5:T5"/>
    <mergeCell ref="Q4:T4"/>
    <mergeCell ref="E6:H6"/>
    <mergeCell ref="U7:X7"/>
    <mergeCell ref="E15:H15"/>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41"/>
  <sheetViews>
    <sheetView showGridLines="0" workbookViewId="0">
      <selection sqref="A1:L1"/>
    </sheetView>
  </sheetViews>
  <sheetFormatPr defaultRowHeight="14.5" x14ac:dyDescent="0.35"/>
  <cols>
    <col min="1" max="12" width="12" customWidth="1"/>
  </cols>
  <sheetData>
    <row r="1" spans="1:12" ht="30" customHeight="1" x14ac:dyDescent="0.35">
      <c r="A1" s="140" t="s">
        <v>2186</v>
      </c>
      <c r="B1" s="120"/>
      <c r="C1" s="120"/>
      <c r="D1" s="120"/>
      <c r="E1" s="120"/>
      <c r="F1" s="120"/>
      <c r="G1" s="120"/>
      <c r="H1" s="120"/>
      <c r="I1" s="120"/>
      <c r="J1" s="120"/>
      <c r="K1" s="120"/>
      <c r="L1" s="120"/>
    </row>
    <row r="2" spans="1:12" ht="18" customHeight="1" x14ac:dyDescent="0.35">
      <c r="A2" s="138" t="s">
        <v>2187</v>
      </c>
      <c r="B2" s="120"/>
      <c r="C2" s="120"/>
      <c r="D2" s="120"/>
      <c r="E2" s="120"/>
      <c r="F2" s="120"/>
      <c r="G2" s="120"/>
      <c r="H2" s="120"/>
      <c r="I2" s="120"/>
      <c r="J2" s="120"/>
      <c r="K2" s="120"/>
      <c r="L2" s="120"/>
    </row>
    <row r="4" spans="1:12" ht="26" customHeight="1" x14ac:dyDescent="0.35">
      <c r="A4" s="148" t="s">
        <v>2188</v>
      </c>
      <c r="B4" s="148" t="s">
        <v>2189</v>
      </c>
      <c r="C4" s="148" t="s">
        <v>299</v>
      </c>
      <c r="D4" s="148" t="s">
        <v>2190</v>
      </c>
      <c r="E4" s="148" t="s">
        <v>315</v>
      </c>
      <c r="F4" s="148" t="s">
        <v>342</v>
      </c>
      <c r="G4" s="148" t="s">
        <v>2191</v>
      </c>
      <c r="H4" s="148" t="s">
        <v>324</v>
      </c>
    </row>
    <row r="5" spans="1:12" ht="24" customHeight="1" x14ac:dyDescent="0.35">
      <c r="A5" s="183">
        <f>COUNTA('Board Tasks'!$A$3:$A$156)</f>
        <v>153</v>
      </c>
      <c r="B5" s="182">
        <f>ROUND(SUM('Board Tasks'!$D$3:$D$156),2)</f>
        <v>316.5</v>
      </c>
      <c r="C5" s="183">
        <f>COUNTIF('Board Tasks'!$F$3:$F$156,"Done")</f>
        <v>59</v>
      </c>
      <c r="D5" s="183">
        <f>COUNTIF('Board Tasks'!$F$3:$F$156,"Authored offline (validated, not live)")</f>
        <v>9</v>
      </c>
      <c r="E5" s="183">
        <f>COUNTIF('Board Tasks'!$F$3:$F$156,"In progress")</f>
        <v>13</v>
      </c>
      <c r="F5" s="183">
        <f>COUNTIF('Board Tasks'!$F$3:$F$156,"Blocked")</f>
        <v>3</v>
      </c>
      <c r="G5" s="183">
        <f>COUNTIF('Board Tasks'!$F$3:$F$156,"Gated by Build Option")</f>
        <v>3</v>
      </c>
      <c r="H5" s="183">
        <f>COUNTIF('Board Tasks'!$F$3:$F$156,"Not started")</f>
        <v>65</v>
      </c>
    </row>
    <row r="7" spans="1:12" ht="22" customHeight="1" x14ac:dyDescent="0.35">
      <c r="A7" s="141" t="s">
        <v>2192</v>
      </c>
      <c r="B7" s="120"/>
      <c r="C7" s="120"/>
      <c r="D7" s="120"/>
      <c r="E7" s="120"/>
      <c r="F7" s="120"/>
      <c r="G7" s="120"/>
      <c r="H7" s="120"/>
      <c r="I7" s="120"/>
      <c r="J7" s="120"/>
      <c r="K7" s="120"/>
      <c r="L7" s="120"/>
    </row>
    <row r="8" spans="1:12" ht="30" customHeight="1" x14ac:dyDescent="0.35">
      <c r="A8" s="60" t="s">
        <v>26</v>
      </c>
      <c r="B8" s="60" t="s">
        <v>2193</v>
      </c>
      <c r="C8" s="60" t="s">
        <v>269</v>
      </c>
      <c r="D8" s="60" t="s">
        <v>2194</v>
      </c>
    </row>
    <row r="9" spans="1:12" x14ac:dyDescent="0.35">
      <c r="A9" s="111" t="s">
        <v>324</v>
      </c>
      <c r="B9" s="62">
        <f>COUNTIF('Board Tasks'!$F$3:$F$156,"Not started")</f>
        <v>65</v>
      </c>
      <c r="C9" s="70">
        <f>ROUND(SUMIF('Board Tasks'!$F$3:$F$156,"Not started",'Board Tasks'!$D$3:$D$156),2)</f>
        <v>100</v>
      </c>
      <c r="D9" s="63">
        <f t="shared" ref="D9:D14" si="0">IFERROR(C9/SUM($C$9:$C$14),0)</f>
        <v>0.31595576619273302</v>
      </c>
    </row>
    <row r="10" spans="1:12" x14ac:dyDescent="0.35">
      <c r="A10" s="112" t="s">
        <v>315</v>
      </c>
      <c r="B10" s="62">
        <f>COUNTIF('Board Tasks'!$F$3:$F$156,"In progress")</f>
        <v>13</v>
      </c>
      <c r="C10" s="70">
        <f>ROUND(SUMIF('Board Tasks'!$F$3:$F$156,"In progress",'Board Tasks'!$D$3:$D$156),2)</f>
        <v>43.75</v>
      </c>
      <c r="D10" s="63">
        <f t="shared" si="0"/>
        <v>0.1382306477093207</v>
      </c>
    </row>
    <row r="11" spans="1:12" x14ac:dyDescent="0.35">
      <c r="A11" s="113" t="s">
        <v>358</v>
      </c>
      <c r="B11" s="62">
        <f>COUNTIF('Board Tasks'!$F$3:$F$156,"Authored offline (validated, not live)")</f>
        <v>9</v>
      </c>
      <c r="C11" s="70">
        <f>ROUND(SUMIF('Board Tasks'!$F$3:$F$156,"Authored offline (validated, not live)",'Board Tasks'!$D$3:$D$156),2)</f>
        <v>17.75</v>
      </c>
      <c r="D11" s="63">
        <f t="shared" si="0"/>
        <v>5.6082148499210109E-2</v>
      </c>
    </row>
    <row r="12" spans="1:12" x14ac:dyDescent="0.35">
      <c r="A12" s="114" t="s">
        <v>342</v>
      </c>
      <c r="B12" s="62">
        <f>COUNTIF('Board Tasks'!$F$3:$F$156,"Blocked")</f>
        <v>3</v>
      </c>
      <c r="C12" s="70">
        <f>ROUND(SUMIF('Board Tasks'!$F$3:$F$156,"Blocked",'Board Tasks'!$D$3:$D$156),2)</f>
        <v>3</v>
      </c>
      <c r="D12" s="63">
        <f t="shared" si="0"/>
        <v>9.4786729857819912E-3</v>
      </c>
    </row>
    <row r="13" spans="1:12" x14ac:dyDescent="0.35">
      <c r="A13" s="115" t="s">
        <v>1928</v>
      </c>
      <c r="B13" s="62">
        <f>COUNTIF('Board Tasks'!$F$3:$F$156,"Gated by Build Option")</f>
        <v>3</v>
      </c>
      <c r="C13" s="70">
        <f>ROUND(SUMIF('Board Tasks'!$F$3:$F$156,"Gated by Build Option",'Board Tasks'!$D$3:$D$156),2)</f>
        <v>15</v>
      </c>
      <c r="D13" s="63">
        <f t="shared" si="0"/>
        <v>4.7393364928909949E-2</v>
      </c>
    </row>
    <row r="14" spans="1:12" x14ac:dyDescent="0.35">
      <c r="A14" s="116" t="s">
        <v>299</v>
      </c>
      <c r="B14" s="62">
        <f>COUNTIF('Board Tasks'!$F$3:$F$156,"Done")</f>
        <v>59</v>
      </c>
      <c r="C14" s="70">
        <f>ROUND(SUMIF('Board Tasks'!$F$3:$F$156,"Done",'Board Tasks'!$D$3:$D$156),2)</f>
        <v>137</v>
      </c>
      <c r="D14" s="63">
        <f t="shared" si="0"/>
        <v>0.43285939968404424</v>
      </c>
    </row>
    <row r="16" spans="1:12" ht="22" customHeight="1" x14ac:dyDescent="0.35">
      <c r="A16" s="141" t="s">
        <v>2195</v>
      </c>
      <c r="B16" s="120"/>
      <c r="C16" s="120"/>
      <c r="D16" s="120"/>
      <c r="E16" s="120"/>
      <c r="F16" s="120"/>
      <c r="G16" s="120"/>
      <c r="H16" s="120"/>
      <c r="I16" s="120"/>
      <c r="J16" s="120"/>
      <c r="K16" s="120"/>
      <c r="L16" s="120"/>
    </row>
    <row r="17" spans="1:3" ht="30" customHeight="1" x14ac:dyDescent="0.35">
      <c r="A17" s="60" t="s">
        <v>265</v>
      </c>
      <c r="B17" s="60" t="s">
        <v>2193</v>
      </c>
      <c r="C17" s="60" t="s">
        <v>269</v>
      </c>
    </row>
    <row r="18" spans="1:3" x14ac:dyDescent="0.35">
      <c r="A18" s="117" t="s">
        <v>294</v>
      </c>
      <c r="B18" s="62">
        <f>COUNTIF('Board Tasks'!$C$3:$C$156,"Environment")</f>
        <v>23</v>
      </c>
      <c r="C18" s="70">
        <f>ROUND(SUMIF('Board Tasks'!$C$3:$C$156,"Environment",'Board Tasks'!$D$3:$D$156),2)</f>
        <v>17.5</v>
      </c>
    </row>
    <row r="19" spans="1:3" x14ac:dyDescent="0.35">
      <c r="A19" s="117" t="s">
        <v>363</v>
      </c>
      <c r="B19" s="62">
        <f>COUNTIF('Board Tasks'!$C$3:$C$156,"Database")</f>
        <v>20</v>
      </c>
      <c r="C19" s="70">
        <f>ROUND(SUMIF('Board Tasks'!$C$3:$C$156,"Database",'Board Tasks'!$D$3:$D$156),2)</f>
        <v>57</v>
      </c>
    </row>
    <row r="20" spans="1:3" x14ac:dyDescent="0.35">
      <c r="A20" s="117" t="s">
        <v>1105</v>
      </c>
      <c r="B20" s="62">
        <f>COUNTIF('Board Tasks'!$C$3:$C$156,"Quality")</f>
        <v>13</v>
      </c>
      <c r="C20" s="70">
        <f>ROUND(SUMIF('Board Tasks'!$C$3:$C$156,"Quality",'Board Tasks'!$D$3:$D$156),2)</f>
        <v>28.5</v>
      </c>
    </row>
    <row r="21" spans="1:3" x14ac:dyDescent="0.35">
      <c r="A21" s="117" t="s">
        <v>1802</v>
      </c>
      <c r="B21" s="62">
        <f>COUNTIF('Board Tasks'!$C$3:$C$156,"Content &amp; adoption")</f>
        <v>3</v>
      </c>
      <c r="C21" s="70">
        <f>ROUND(SUMIF('Board Tasks'!$C$3:$C$156,"Content &amp; adoption",'Board Tasks'!$D$3:$D$156),2)</f>
        <v>2</v>
      </c>
    </row>
    <row r="22" spans="1:3" x14ac:dyDescent="0.35">
      <c r="A22" s="117" t="s">
        <v>1352</v>
      </c>
      <c r="B22" s="62">
        <f>COUNTIF('Board Tasks'!$C$3:$C$156,"Compliance")</f>
        <v>10</v>
      </c>
      <c r="C22" s="70">
        <f>ROUND(SUMIF('Board Tasks'!$C$3:$C$156,"Compliance",'Board Tasks'!$D$3:$D$156),2)</f>
        <v>0</v>
      </c>
    </row>
    <row r="23" spans="1:3" x14ac:dyDescent="0.35">
      <c r="A23" s="117" t="s">
        <v>1828</v>
      </c>
      <c r="B23" s="62">
        <f>COUNTIF('Board Tasks'!$C$3:$C$156,"Release")</f>
        <v>7</v>
      </c>
      <c r="C23" s="70">
        <f>ROUND(SUMIF('Board Tasks'!$C$3:$C$156,"Release",'Board Tasks'!$D$3:$D$156),2)</f>
        <v>3.25</v>
      </c>
    </row>
    <row r="24" spans="1:3" x14ac:dyDescent="0.35">
      <c r="A24" s="117" t="s">
        <v>1843</v>
      </c>
      <c r="B24" s="62">
        <f>COUNTIF('Board Tasks'!$C$3:$C$156,"Acceptance")</f>
        <v>9</v>
      </c>
      <c r="C24" s="70">
        <f>ROUND(SUMIF('Board Tasks'!$C$3:$C$156,"Acceptance",'Board Tasks'!$D$3:$D$156),2)</f>
        <v>16.5</v>
      </c>
    </row>
    <row r="25" spans="1:3" x14ac:dyDescent="0.35">
      <c r="A25" s="117" t="s">
        <v>354</v>
      </c>
      <c r="B25" s="62">
        <f>COUNTIF('Board Tasks'!$C$3:$C$156,"Migration")</f>
        <v>2</v>
      </c>
      <c r="C25" s="70">
        <f>ROUND(SUMIF('Board Tasks'!$C$3:$C$156,"Migration",'Board Tasks'!$D$3:$D$156),2)</f>
        <v>5</v>
      </c>
    </row>
    <row r="26" spans="1:3" x14ac:dyDescent="0.35">
      <c r="A26" s="117" t="s">
        <v>1861</v>
      </c>
      <c r="B26" s="62">
        <f>COUNTIF('Board Tasks'!$C$3:$C$156,"W0 Auth &amp; admin")</f>
        <v>22</v>
      </c>
      <c r="C26" s="70">
        <f>ROUND(SUMIF('Board Tasks'!$C$3:$C$156,"W0 Auth &amp; admin",'Board Tasks'!$D$3:$D$156),2)</f>
        <v>43</v>
      </c>
    </row>
    <row r="27" spans="1:3" x14ac:dyDescent="0.35">
      <c r="A27" s="117" t="s">
        <v>1954</v>
      </c>
      <c r="B27" s="62">
        <f>COUNTIF('Board Tasks'!$C$3:$C$156,"W1 Shell")</f>
        <v>3</v>
      </c>
      <c r="C27" s="70">
        <f>ROUND(SUMIF('Board Tasks'!$C$3:$C$156,"W1 Shell",'Board Tasks'!$D$3:$D$156),2)</f>
        <v>5</v>
      </c>
    </row>
    <row r="28" spans="1:3" x14ac:dyDescent="0.35">
      <c r="A28" s="117" t="s">
        <v>1898</v>
      </c>
      <c r="B28" s="62">
        <f>COUNTIF('Board Tasks'!$C$3:$C$156,"W2 Profile &amp; directory")</f>
        <v>11</v>
      </c>
      <c r="C28" s="70">
        <f>ROUND(SUMIF('Board Tasks'!$C$3:$C$156,"W2 Profile &amp; directory",'Board Tasks'!$D$3:$D$156),2)</f>
        <v>30.75</v>
      </c>
    </row>
    <row r="29" spans="1:3" x14ac:dyDescent="0.35">
      <c r="A29" s="117" t="s">
        <v>1903</v>
      </c>
      <c r="B29" s="62">
        <f>COUNTIF('Board Tasks'!$C$3:$C$156,"W3 Content &amp; events")</f>
        <v>6</v>
      </c>
      <c r="C29" s="70">
        <f>ROUND(SUMIF('Board Tasks'!$C$3:$C$156,"W3 Content &amp; events",'Board Tasks'!$D$3:$D$156),2)</f>
        <v>16.75</v>
      </c>
    </row>
    <row r="30" spans="1:3" x14ac:dyDescent="0.35">
      <c r="A30" s="117" t="s">
        <v>1931</v>
      </c>
      <c r="B30" s="62">
        <f>COUNTIF('Board Tasks'!$C$3:$C$156,"W4 Messaging &amp; channels")</f>
        <v>6</v>
      </c>
      <c r="C30" s="70">
        <f>ROUND(SUMIF('Board Tasks'!$C$3:$C$156,"W4 Messaging &amp; channels",'Board Tasks'!$D$3:$D$156),2)</f>
        <v>29.25</v>
      </c>
    </row>
    <row r="31" spans="1:3" x14ac:dyDescent="0.35">
      <c r="A31" s="117" t="s">
        <v>1906</v>
      </c>
      <c r="B31" s="62">
        <f>COUNTIF('Board Tasks'!$C$3:$C$156,"W5 Jobs &amp; helpdesk")</f>
        <v>5</v>
      </c>
      <c r="C31" s="70">
        <f>ROUND(SUMIF('Board Tasks'!$C$3:$C$156,"W5 Jobs &amp; helpdesk",'Board Tasks'!$D$3:$D$156),2)</f>
        <v>17.75</v>
      </c>
    </row>
    <row r="32" spans="1:3" x14ac:dyDescent="0.35">
      <c r="A32" s="117" t="s">
        <v>1868</v>
      </c>
      <c r="B32" s="62">
        <f>COUNTIF('Board Tasks'!$C$3:$C$156,"W6 Community &amp; partners")</f>
        <v>9</v>
      </c>
      <c r="C32" s="70">
        <f>ROUND(SUMIF('Board Tasks'!$C$3:$C$156,"W6 Community &amp; partners",'Board Tasks'!$D$3:$D$156),2)</f>
        <v>36.75</v>
      </c>
    </row>
    <row r="33" spans="1:12" x14ac:dyDescent="0.35">
      <c r="A33" s="117" t="s">
        <v>1886</v>
      </c>
      <c r="B33" s="62">
        <f>COUNTIF('Board Tasks'!$C$3:$C$156,"W7 Reporting")</f>
        <v>3</v>
      </c>
      <c r="C33" s="70">
        <f>ROUND(SUMIF('Board Tasks'!$C$3:$C$156,"W7 Reporting",'Board Tasks'!$D$3:$D$156),2)</f>
        <v>7.5</v>
      </c>
    </row>
    <row r="35" spans="1:12" ht="22" customHeight="1" x14ac:dyDescent="0.35">
      <c r="A35" s="141" t="s">
        <v>2196</v>
      </c>
      <c r="B35" s="120"/>
      <c r="C35" s="120"/>
      <c r="D35" s="120"/>
      <c r="E35" s="120"/>
      <c r="F35" s="120"/>
      <c r="G35" s="120"/>
      <c r="H35" s="120"/>
      <c r="I35" s="120"/>
      <c r="J35" s="120"/>
      <c r="K35" s="120"/>
      <c r="L35" s="120"/>
    </row>
    <row r="36" spans="1:12" ht="30" customHeight="1" x14ac:dyDescent="0.35">
      <c r="A36" s="60" t="s">
        <v>270</v>
      </c>
      <c r="B36" s="60" t="s">
        <v>2193</v>
      </c>
      <c r="C36" s="60" t="s">
        <v>269</v>
      </c>
      <c r="D36" s="60" t="s">
        <v>160</v>
      </c>
    </row>
    <row r="37" spans="1:12" ht="26" x14ac:dyDescent="0.35">
      <c r="A37" s="110" t="s">
        <v>298</v>
      </c>
      <c r="B37" s="62">
        <f>COUNTIF('Board Tasks'!$E$3:$E$156,"P0")</f>
        <v>98</v>
      </c>
      <c r="C37" s="70">
        <f>ROUND(SUMIF('Board Tasks'!$E$3:$E$156,"P0",'Board Tasks'!$D$3:$D$156),2)</f>
        <v>164.75</v>
      </c>
      <c r="D37" s="76" t="s">
        <v>2197</v>
      </c>
    </row>
    <row r="38" spans="1:12" x14ac:dyDescent="0.35">
      <c r="A38" s="110" t="s">
        <v>357</v>
      </c>
      <c r="B38" s="62">
        <f>COUNTIF('Board Tasks'!$E$3:$E$156,"P1")</f>
        <v>30</v>
      </c>
      <c r="C38" s="70">
        <f>ROUND(SUMIF('Board Tasks'!$E$3:$E$156,"P1",'Board Tasks'!$D$3:$D$156),2)</f>
        <v>75.75</v>
      </c>
      <c r="D38" s="76" t="s">
        <v>2198</v>
      </c>
    </row>
    <row r="39" spans="1:12" x14ac:dyDescent="0.35">
      <c r="A39" s="110" t="s">
        <v>1887</v>
      </c>
      <c r="B39" s="62">
        <f>COUNTIF('Board Tasks'!$E$3:$E$156,"P2")</f>
        <v>8</v>
      </c>
      <c r="C39" s="70">
        <f>ROUND(SUMIF('Board Tasks'!$E$3:$E$156,"P2",'Board Tasks'!$D$3:$D$156),2)</f>
        <v>25.25</v>
      </c>
      <c r="D39" s="76" t="s">
        <v>2199</v>
      </c>
    </row>
    <row r="40" spans="1:12" ht="26" x14ac:dyDescent="0.35">
      <c r="A40" s="110" t="s">
        <v>1869</v>
      </c>
      <c r="B40" s="62">
        <f>COUNTIF('Board Tasks'!$E$3:$E$156,"P3")</f>
        <v>6</v>
      </c>
      <c r="C40" s="70">
        <f>ROUND(SUMIF('Board Tasks'!$E$3:$E$156,"P3",'Board Tasks'!$D$3:$D$156),2)</f>
        <v>26.75</v>
      </c>
      <c r="D40" s="76" t="s">
        <v>2200</v>
      </c>
    </row>
    <row r="41" spans="1:12" ht="26" x14ac:dyDescent="0.35">
      <c r="A41" s="110" t="s">
        <v>334</v>
      </c>
      <c r="B41" s="62">
        <f>COUNTIF('Board Tasks'!$E$3:$E$156,"P4")</f>
        <v>10</v>
      </c>
      <c r="C41" s="70">
        <f>ROUND(SUMIF('Board Tasks'!$E$3:$E$156,"P4",'Board Tasks'!$D$3:$D$156),2)</f>
        <v>24</v>
      </c>
      <c r="D41" s="76" t="s">
        <v>2201</v>
      </c>
    </row>
  </sheetData>
  <mergeCells count="21">
    <mergeCell ref="A1:L1"/>
    <mergeCell ref="A5"/>
    <mergeCell ref="G5"/>
    <mergeCell ref="A35:L35"/>
    <mergeCell ref="E5"/>
    <mergeCell ref="C4"/>
    <mergeCell ref="E4"/>
    <mergeCell ref="F5"/>
    <mergeCell ref="A2:L2"/>
    <mergeCell ref="B4"/>
    <mergeCell ref="F4"/>
    <mergeCell ref="C5"/>
    <mergeCell ref="H4"/>
    <mergeCell ref="D4"/>
    <mergeCell ref="A16:L16"/>
    <mergeCell ref="A7:L7"/>
    <mergeCell ref="A4"/>
    <mergeCell ref="G4"/>
    <mergeCell ref="B5"/>
    <mergeCell ref="D5"/>
    <mergeCell ref="H5"/>
  </mergeCell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39"/>
  <sheetViews>
    <sheetView showGridLines="0" workbookViewId="0">
      <selection sqref="A1:N1"/>
    </sheetView>
  </sheetViews>
  <sheetFormatPr defaultRowHeight="14.5" x14ac:dyDescent="0.35"/>
  <cols>
    <col min="1" max="14" width="12" customWidth="1"/>
  </cols>
  <sheetData>
    <row r="1" spans="1:14" ht="30" customHeight="1" x14ac:dyDescent="0.35">
      <c r="A1" s="140" t="s">
        <v>2202</v>
      </c>
      <c r="B1" s="120"/>
      <c r="C1" s="120"/>
      <c r="D1" s="120"/>
      <c r="E1" s="120"/>
      <c r="F1" s="120"/>
      <c r="G1" s="120"/>
      <c r="H1" s="120"/>
      <c r="I1" s="120"/>
      <c r="J1" s="120"/>
      <c r="K1" s="120"/>
      <c r="L1" s="120"/>
      <c r="M1" s="120"/>
      <c r="N1" s="120"/>
    </row>
    <row r="2" spans="1:14" ht="18" customHeight="1" x14ac:dyDescent="0.35">
      <c r="A2" s="138" t="s">
        <v>2203</v>
      </c>
      <c r="B2" s="120"/>
      <c r="C2" s="120"/>
      <c r="D2" s="120"/>
      <c r="E2" s="120"/>
      <c r="F2" s="120"/>
      <c r="G2" s="120"/>
      <c r="H2" s="120"/>
      <c r="I2" s="120"/>
      <c r="J2" s="120"/>
      <c r="K2" s="120"/>
      <c r="L2" s="120"/>
      <c r="M2" s="120"/>
      <c r="N2" s="120"/>
    </row>
    <row r="4" spans="1:14" ht="22" customHeight="1" x14ac:dyDescent="0.35">
      <c r="A4" s="141" t="s">
        <v>2204</v>
      </c>
      <c r="B4" s="120"/>
      <c r="C4" s="120"/>
      <c r="D4" s="120"/>
      <c r="E4" s="120"/>
      <c r="F4" s="120"/>
      <c r="G4" s="120"/>
      <c r="H4" s="120"/>
      <c r="I4" s="120"/>
      <c r="J4" s="120"/>
      <c r="K4" s="120"/>
      <c r="L4" s="120"/>
      <c r="M4" s="120"/>
      <c r="N4" s="120"/>
    </row>
    <row r="5" spans="1:14" ht="28" customHeight="1" x14ac:dyDescent="0.35">
      <c r="A5" s="185" t="s">
        <v>2205</v>
      </c>
      <c r="B5" s="186"/>
      <c r="C5" s="188" t="s">
        <v>2206</v>
      </c>
      <c r="D5" s="180"/>
      <c r="E5" s="180"/>
      <c r="F5" s="180"/>
      <c r="G5" s="180"/>
      <c r="H5" s="180"/>
      <c r="I5" s="180"/>
      <c r="J5" s="180"/>
      <c r="K5" s="180"/>
      <c r="L5" s="180"/>
      <c r="M5" s="180"/>
      <c r="N5" s="180"/>
    </row>
    <row r="6" spans="1:14" ht="28" customHeight="1" x14ac:dyDescent="0.35">
      <c r="A6" s="185" t="s">
        <v>2207</v>
      </c>
      <c r="B6" s="186"/>
      <c r="C6" s="188" t="s">
        <v>2208</v>
      </c>
      <c r="D6" s="180"/>
      <c r="E6" s="180"/>
      <c r="F6" s="180"/>
      <c r="G6" s="180"/>
      <c r="H6" s="180"/>
      <c r="I6" s="180"/>
      <c r="J6" s="180"/>
      <c r="K6" s="180"/>
      <c r="L6" s="180"/>
      <c r="M6" s="180"/>
      <c r="N6" s="180"/>
    </row>
    <row r="7" spans="1:14" ht="28" customHeight="1" x14ac:dyDescent="0.35">
      <c r="A7" s="185" t="s">
        <v>2209</v>
      </c>
      <c r="B7" s="186"/>
      <c r="C7" s="188" t="s">
        <v>2210</v>
      </c>
      <c r="D7" s="180"/>
      <c r="E7" s="180"/>
      <c r="F7" s="180"/>
      <c r="G7" s="180"/>
      <c r="H7" s="180"/>
      <c r="I7" s="180"/>
      <c r="J7" s="180"/>
      <c r="K7" s="180"/>
      <c r="L7" s="180"/>
      <c r="M7" s="180"/>
      <c r="N7" s="180"/>
    </row>
    <row r="9" spans="1:14" ht="22" customHeight="1" x14ac:dyDescent="0.35">
      <c r="A9" s="141" t="s">
        <v>2211</v>
      </c>
      <c r="B9" s="120"/>
      <c r="C9" s="120"/>
      <c r="D9" s="120"/>
      <c r="E9" s="120"/>
      <c r="F9" s="120"/>
      <c r="G9" s="120"/>
      <c r="H9" s="120"/>
      <c r="I9" s="120"/>
      <c r="J9" s="120"/>
      <c r="K9" s="120"/>
      <c r="L9" s="120"/>
      <c r="M9" s="120"/>
      <c r="N9" s="120"/>
    </row>
    <row r="10" spans="1:14" ht="30" customHeight="1" x14ac:dyDescent="0.35">
      <c r="A10" s="60" t="s">
        <v>264</v>
      </c>
      <c r="B10" s="60" t="s">
        <v>2212</v>
      </c>
      <c r="C10" s="60" t="s">
        <v>2213</v>
      </c>
      <c r="D10" s="60" t="s">
        <v>2214</v>
      </c>
      <c r="E10" s="60" t="s">
        <v>2215</v>
      </c>
    </row>
    <row r="11" spans="1:14" x14ac:dyDescent="0.35">
      <c r="A11" s="103" t="str">
        <f>'Sprint Performance Tracker'!A6</f>
        <v>Sprint 1</v>
      </c>
      <c r="B11" s="64">
        <f>'Sprint Performance Tracker'!G6</f>
        <v>32</v>
      </c>
      <c r="C11" s="64">
        <f>'Sprint Performance Tracker'!H6</f>
        <v>27</v>
      </c>
      <c r="D11" s="63">
        <f>'Sprint Performance Tracker'!I6</f>
        <v>0.84375</v>
      </c>
      <c r="E11" s="64">
        <f>'Sprint Performance Tracker'!K6</f>
        <v>27</v>
      </c>
    </row>
    <row r="12" spans="1:14" x14ac:dyDescent="0.35">
      <c r="A12" s="103" t="str">
        <f>'Sprint Performance Tracker'!A7</f>
        <v>Sprint 2</v>
      </c>
      <c r="B12" s="64">
        <f>'Sprint Performance Tracker'!G7</f>
        <v>34</v>
      </c>
      <c r="C12" s="64">
        <f>'Sprint Performance Tracker'!H7</f>
        <v>30</v>
      </c>
      <c r="D12" s="63">
        <f>'Sprint Performance Tracker'!I7</f>
        <v>0.88235294117647056</v>
      </c>
      <c r="E12" s="64">
        <f>'Sprint Performance Tracker'!K7</f>
        <v>28.5</v>
      </c>
    </row>
    <row r="13" spans="1:14" x14ac:dyDescent="0.35">
      <c r="A13" s="103" t="str">
        <f>'Sprint Performance Tracker'!A8</f>
        <v>Sprint 3</v>
      </c>
      <c r="B13" s="64">
        <f>'Sprint Performance Tracker'!G8</f>
        <v>30</v>
      </c>
      <c r="C13" s="64">
        <f>'Sprint Performance Tracker'!H8</f>
        <v>25</v>
      </c>
      <c r="D13" s="63">
        <f>'Sprint Performance Tracker'!I8</f>
        <v>0.83333333333333337</v>
      </c>
      <c r="E13" s="64">
        <f>'Sprint Performance Tracker'!K8</f>
        <v>27.333333333333332</v>
      </c>
    </row>
    <row r="14" spans="1:14" x14ac:dyDescent="0.35">
      <c r="A14" s="103" t="str">
        <f>'Sprint Performance Tracker'!A9</f>
        <v>Sprint 4</v>
      </c>
      <c r="B14" s="64">
        <f>'Sprint Performance Tracker'!G9</f>
        <v>36</v>
      </c>
      <c r="C14" s="64">
        <f>'Sprint Performance Tracker'!H9</f>
        <v>33</v>
      </c>
      <c r="D14" s="63">
        <f>'Sprint Performance Tracker'!I9</f>
        <v>0.91666666666666663</v>
      </c>
      <c r="E14" s="64">
        <f>'Sprint Performance Tracker'!K9</f>
        <v>29.333333333333332</v>
      </c>
    </row>
    <row r="15" spans="1:14" x14ac:dyDescent="0.35">
      <c r="A15" s="103" t="str">
        <f>'Sprint Performance Tracker'!A10</f>
        <v>Sprint 5</v>
      </c>
      <c r="B15" s="64">
        <f>'Sprint Performance Tracker'!G10</f>
        <v>33</v>
      </c>
      <c r="C15" s="64">
        <f>'Sprint Performance Tracker'!H10</f>
        <v>29</v>
      </c>
      <c r="D15" s="63">
        <f>'Sprint Performance Tracker'!I10</f>
        <v>0.87878787878787878</v>
      </c>
      <c r="E15" s="64">
        <f>'Sprint Performance Tracker'!K10</f>
        <v>29</v>
      </c>
    </row>
    <row r="16" spans="1:14" x14ac:dyDescent="0.35">
      <c r="A16" s="103" t="str">
        <f>'Sprint Performance Tracker'!A11</f>
        <v>Sprint 6</v>
      </c>
      <c r="B16" s="64">
        <f>'Sprint Performance Tracker'!G11</f>
        <v>38</v>
      </c>
      <c r="C16" s="64">
        <f>'Sprint Performance Tracker'!H11</f>
        <v>35</v>
      </c>
      <c r="D16" s="63">
        <f>'Sprint Performance Tracker'!I11</f>
        <v>0.92105263157894735</v>
      </c>
      <c r="E16" s="64">
        <f>'Sprint Performance Tracker'!K11</f>
        <v>32.333333333333336</v>
      </c>
    </row>
    <row r="17" spans="1:14" x14ac:dyDescent="0.35">
      <c r="A17" s="103" t="str">
        <f>'Sprint Performance Tracker'!A12</f>
        <v>Sprint 7</v>
      </c>
      <c r="B17" s="64">
        <f>'Sprint Performance Tracker'!G12</f>
        <v>35</v>
      </c>
      <c r="C17" s="64">
        <f>'Sprint Performance Tracker'!H12</f>
        <v>33</v>
      </c>
      <c r="D17" s="63">
        <f>'Sprint Performance Tracker'!I12</f>
        <v>0.94285714285714284</v>
      </c>
      <c r="E17" s="64">
        <f>'Sprint Performance Tracker'!K12</f>
        <v>32.333333333333336</v>
      </c>
    </row>
    <row r="18" spans="1:14" x14ac:dyDescent="0.35">
      <c r="A18" s="103" t="str">
        <f>'Sprint Performance Tracker'!A13</f>
        <v>Sprint 8</v>
      </c>
      <c r="B18" s="64">
        <f>'Sprint Performance Tracker'!G13</f>
        <v>40</v>
      </c>
      <c r="C18" s="64">
        <f>'Sprint Performance Tracker'!H13</f>
        <v>37</v>
      </c>
      <c r="D18" s="63">
        <f>'Sprint Performance Tracker'!I13</f>
        <v>0.92500000000000004</v>
      </c>
      <c r="E18" s="64">
        <f>'Sprint Performance Tracker'!K13</f>
        <v>35</v>
      </c>
    </row>
    <row r="19" spans="1:14" x14ac:dyDescent="0.35">
      <c r="A19" s="103" t="str">
        <f>'Sprint Performance Tracker'!A14</f>
        <v>Sprint 9</v>
      </c>
      <c r="B19" s="64">
        <f>'Sprint Performance Tracker'!G14</f>
        <v>37</v>
      </c>
      <c r="C19" s="64">
        <f>'Sprint Performance Tracker'!H14</f>
        <v>35</v>
      </c>
      <c r="D19" s="63">
        <f>'Sprint Performance Tracker'!I14</f>
        <v>0.94594594594594594</v>
      </c>
      <c r="E19" s="64">
        <f>'Sprint Performance Tracker'!K14</f>
        <v>35</v>
      </c>
    </row>
    <row r="20" spans="1:14" x14ac:dyDescent="0.35">
      <c r="A20" s="103" t="str">
        <f>'Sprint Performance Tracker'!A15</f>
        <v>Sprint 10</v>
      </c>
      <c r="B20" s="64">
        <f>'Sprint Performance Tracker'!G15</f>
        <v>42</v>
      </c>
      <c r="C20" s="64">
        <f>'Sprint Performance Tracker'!H15</f>
        <v>39</v>
      </c>
      <c r="D20" s="63">
        <f>'Sprint Performance Tracker'!I15</f>
        <v>0.9285714285714286</v>
      </c>
      <c r="E20" s="64">
        <f>'Sprint Performance Tracker'!K15</f>
        <v>37</v>
      </c>
    </row>
    <row r="21" spans="1:14" x14ac:dyDescent="0.35">
      <c r="A21" s="103" t="str">
        <f>'Sprint Performance Tracker'!A16</f>
        <v>Sprint 11</v>
      </c>
      <c r="B21" s="64">
        <f>'Sprint Performance Tracker'!G16</f>
        <v>39</v>
      </c>
      <c r="C21" s="64">
        <f>'Sprint Performance Tracker'!H16</f>
        <v>37</v>
      </c>
      <c r="D21" s="63">
        <f>'Sprint Performance Tracker'!I16</f>
        <v>0.94871794871794868</v>
      </c>
      <c r="E21" s="64">
        <f>'Sprint Performance Tracker'!K16</f>
        <v>37</v>
      </c>
    </row>
    <row r="22" spans="1:14" x14ac:dyDescent="0.35">
      <c r="A22" s="103" t="str">
        <f>'Sprint Performance Tracker'!A17</f>
        <v>Sprint 12</v>
      </c>
      <c r="B22" s="64">
        <f>'Sprint Performance Tracker'!G17</f>
        <v>44</v>
      </c>
      <c r="C22" s="64">
        <f>'Sprint Performance Tracker'!H17</f>
        <v>42</v>
      </c>
      <c r="D22" s="63">
        <f>'Sprint Performance Tracker'!I17</f>
        <v>0.95454545454545459</v>
      </c>
      <c r="E22" s="64">
        <f>'Sprint Performance Tracker'!K17</f>
        <v>39.333333333333336</v>
      </c>
    </row>
    <row r="24" spans="1:14" ht="22" customHeight="1" x14ac:dyDescent="0.35">
      <c r="A24" s="141" t="s">
        <v>2216</v>
      </c>
      <c r="B24" s="120"/>
      <c r="C24" s="120"/>
      <c r="D24" s="120"/>
      <c r="E24" s="120"/>
      <c r="F24" s="120"/>
      <c r="G24" s="120"/>
      <c r="H24" s="120"/>
      <c r="I24" s="120"/>
      <c r="J24" s="120"/>
      <c r="K24" s="120"/>
      <c r="L24" s="120"/>
      <c r="M24" s="120"/>
      <c r="N24" s="120"/>
    </row>
    <row r="25" spans="1:14" ht="26" customHeight="1" x14ac:dyDescent="0.35">
      <c r="A25" s="148" t="s">
        <v>1670</v>
      </c>
      <c r="B25" s="148" t="s">
        <v>1671</v>
      </c>
      <c r="C25" s="148" t="s">
        <v>1672</v>
      </c>
      <c r="D25" s="148" t="s">
        <v>1673</v>
      </c>
      <c r="E25" s="148" t="s">
        <v>1674</v>
      </c>
    </row>
    <row r="26" spans="1:14" ht="24" customHeight="1" x14ac:dyDescent="0.35">
      <c r="A26" s="184">
        <f>'Sprint Capacity Planner'!B24</f>
        <v>53.75</v>
      </c>
      <c r="B26" s="184">
        <f>'Sprint Capacity Planner'!B25</f>
        <v>48.375</v>
      </c>
      <c r="C26" s="184">
        <f>'Sprint Capacity Planner'!B27</f>
        <v>48.375</v>
      </c>
      <c r="D26" s="187">
        <f>AVERAGE(D11:D22)</f>
        <v>0.91013178101510162</v>
      </c>
      <c r="E26" s="184">
        <f>FORECAST(13,C11:C22,'Sprint Performance Tracker'!$M$6:$M$17)</f>
        <v>41.63636363636364</v>
      </c>
    </row>
    <row r="28" spans="1:14" ht="22" customHeight="1" x14ac:dyDescent="0.35">
      <c r="A28" s="141" t="s">
        <v>2217</v>
      </c>
      <c r="B28" s="120"/>
      <c r="C28" s="120"/>
      <c r="D28" s="120"/>
      <c r="E28" s="120"/>
      <c r="F28" s="120"/>
      <c r="G28" s="120"/>
      <c r="H28" s="120"/>
      <c r="I28" s="120"/>
      <c r="J28" s="120"/>
      <c r="K28" s="120"/>
      <c r="L28" s="120"/>
      <c r="M28" s="120"/>
      <c r="N28" s="120"/>
    </row>
    <row r="29" spans="1:14" ht="30" customHeight="1" x14ac:dyDescent="0.35">
      <c r="A29" s="60" t="s">
        <v>1400</v>
      </c>
      <c r="B29" s="60" t="s">
        <v>159</v>
      </c>
      <c r="C29" s="60" t="s">
        <v>2218</v>
      </c>
      <c r="D29" s="60" t="s">
        <v>2219</v>
      </c>
      <c r="E29" s="60" t="s">
        <v>1677</v>
      </c>
    </row>
    <row r="30" spans="1:14" x14ac:dyDescent="0.35">
      <c r="A30" s="69" t="s">
        <v>1679</v>
      </c>
      <c r="B30" s="118" t="str">
        <f>'Sprint Capacity Planner'!B$4</f>
        <v>Product Owner</v>
      </c>
      <c r="C30" s="64">
        <f>'Sprint Capacity Planner'!B19</f>
        <v>23</v>
      </c>
      <c r="D30" s="64">
        <f>'Sprint Capacity Planner'!B22</f>
        <v>2.875</v>
      </c>
      <c r="E30" s="70">
        <f>'Sprint Capacity Planner'!B15</f>
        <v>0.5</v>
      </c>
    </row>
    <row r="31" spans="1:14" x14ac:dyDescent="0.35">
      <c r="A31" s="69" t="s">
        <v>1680</v>
      </c>
      <c r="B31" s="118" t="str">
        <f>'Sprint Capacity Planner'!C$4</f>
        <v>Scrum Master / Delivery Lead</v>
      </c>
      <c r="C31" s="64">
        <f>'Sprint Capacity Planner'!C19</f>
        <v>23</v>
      </c>
      <c r="D31" s="64">
        <f>'Sprint Capacity Planner'!C22</f>
        <v>2.875</v>
      </c>
      <c r="E31" s="70">
        <f>'Sprint Capacity Planner'!C15</f>
        <v>0.5</v>
      </c>
    </row>
    <row r="32" spans="1:14" x14ac:dyDescent="0.35">
      <c r="A32" s="69" t="s">
        <v>1681</v>
      </c>
      <c r="B32" s="118" t="str">
        <f>'Sprint Capacity Planner'!D$4</f>
        <v>UX Lead</v>
      </c>
      <c r="C32" s="64">
        <f>'Sprint Capacity Planner'!D19</f>
        <v>63</v>
      </c>
      <c r="D32" s="64">
        <f>'Sprint Capacity Planner'!D22</f>
        <v>7.875</v>
      </c>
      <c r="E32" s="70">
        <f>'Sprint Capacity Planner'!D15</f>
        <v>1</v>
      </c>
    </row>
    <row r="33" spans="1:5" x14ac:dyDescent="0.35">
      <c r="A33" s="69" t="s">
        <v>1682</v>
      </c>
      <c r="B33" s="118" t="str">
        <f>'Sprint Capacity Planner'!E$4</f>
        <v>UI / Visual Designer</v>
      </c>
      <c r="C33" s="64">
        <f>'Sprint Capacity Planner'!E19</f>
        <v>63</v>
      </c>
      <c r="D33" s="64">
        <f>'Sprint Capacity Planner'!E22</f>
        <v>7.875</v>
      </c>
      <c r="E33" s="70">
        <f>'Sprint Capacity Planner'!E15</f>
        <v>1</v>
      </c>
    </row>
    <row r="34" spans="1:5" x14ac:dyDescent="0.35">
      <c r="A34" s="69" t="s">
        <v>1683</v>
      </c>
      <c r="B34" s="118" t="str">
        <f>'Sprint Capacity Planner'!F$4</f>
        <v>Design Systems / Front-end</v>
      </c>
      <c r="C34" s="64">
        <f>'Sprint Capacity Planner'!F19</f>
        <v>63</v>
      </c>
      <c r="D34" s="64">
        <f>'Sprint Capacity Planner'!F22</f>
        <v>7.875</v>
      </c>
      <c r="E34" s="70">
        <f>'Sprint Capacity Planner'!F15</f>
        <v>1</v>
      </c>
    </row>
    <row r="35" spans="1:5" x14ac:dyDescent="0.35">
      <c r="A35" s="69" t="s">
        <v>1684</v>
      </c>
      <c r="B35" s="118" t="str">
        <f>'Sprint Capacity Planner'!G$4</f>
        <v>Back-end Engineer</v>
      </c>
      <c r="C35" s="64">
        <f>'Sprint Capacity Planner'!G19</f>
        <v>63</v>
      </c>
      <c r="D35" s="64">
        <f>'Sprint Capacity Planner'!G22</f>
        <v>7.875</v>
      </c>
      <c r="E35" s="70">
        <f>'Sprint Capacity Planner'!G15</f>
        <v>1</v>
      </c>
    </row>
    <row r="36" spans="1:5" x14ac:dyDescent="0.35">
      <c r="A36" s="69" t="s">
        <v>1685</v>
      </c>
      <c r="B36" s="118" t="str">
        <f>'Sprint Capacity Planner'!H$4</f>
        <v>Solution Architect</v>
      </c>
      <c r="C36" s="64">
        <f>'Sprint Capacity Planner'!H19</f>
        <v>23</v>
      </c>
      <c r="D36" s="64">
        <f>'Sprint Capacity Planner'!H22</f>
        <v>2.875</v>
      </c>
      <c r="E36" s="70">
        <f>'Sprint Capacity Planner'!H15</f>
        <v>0.5</v>
      </c>
    </row>
    <row r="37" spans="1:5" x14ac:dyDescent="0.35">
      <c r="A37" s="69" t="s">
        <v>1686</v>
      </c>
      <c r="B37" s="118" t="str">
        <f>'Sprint Capacity Planner'!I$4</f>
        <v>Accessibility / QA Lead</v>
      </c>
      <c r="C37" s="64">
        <f>'Sprint Capacity Planner'!I19</f>
        <v>63</v>
      </c>
      <c r="D37" s="64">
        <f>'Sprint Capacity Planner'!I22</f>
        <v>7.875</v>
      </c>
      <c r="E37" s="70">
        <f>'Sprint Capacity Planner'!I15</f>
        <v>1</v>
      </c>
    </row>
    <row r="38" spans="1:5" x14ac:dyDescent="0.35">
      <c r="A38" s="69" t="s">
        <v>1687</v>
      </c>
      <c r="B38" s="118" t="str">
        <f>'Sprint Capacity Planner'!J$4</f>
        <v>Content Strategist</v>
      </c>
      <c r="C38" s="64">
        <f>'Sprint Capacity Planner'!J19</f>
        <v>23</v>
      </c>
      <c r="D38" s="64">
        <f>'Sprint Capacity Planner'!J22</f>
        <v>2.875</v>
      </c>
      <c r="E38" s="70">
        <f>'Sprint Capacity Planner'!J15</f>
        <v>0.5</v>
      </c>
    </row>
    <row r="39" spans="1:5" x14ac:dyDescent="0.35">
      <c r="A39" s="69" t="s">
        <v>1688</v>
      </c>
      <c r="B39" s="118" t="str">
        <f>'Sprint Capacity Planner'!K$4</f>
        <v>Change &amp; Comms Lead</v>
      </c>
      <c r="C39" s="64">
        <f>'Sprint Capacity Planner'!K19</f>
        <v>23</v>
      </c>
      <c r="D39" s="64">
        <f>'Sprint Capacity Planner'!K22</f>
        <v>2.875</v>
      </c>
      <c r="E39" s="70">
        <f>'Sprint Capacity Planner'!K15</f>
        <v>0.5</v>
      </c>
    </row>
  </sheetData>
  <mergeCells count="22">
    <mergeCell ref="A28:N28"/>
    <mergeCell ref="A6:B6"/>
    <mergeCell ref="A1:N1"/>
    <mergeCell ref="B26"/>
    <mergeCell ref="A7:B7"/>
    <mergeCell ref="D26"/>
    <mergeCell ref="B25"/>
    <mergeCell ref="C7:N7"/>
    <mergeCell ref="C26"/>
    <mergeCell ref="A2:N2"/>
    <mergeCell ref="A5:B5"/>
    <mergeCell ref="A25"/>
    <mergeCell ref="C25"/>
    <mergeCell ref="C6:N6"/>
    <mergeCell ref="A4:N4"/>
    <mergeCell ref="A26"/>
    <mergeCell ref="C5:N5"/>
    <mergeCell ref="A9:N9"/>
    <mergeCell ref="E26"/>
    <mergeCell ref="A24:N24"/>
    <mergeCell ref="D25"/>
    <mergeCell ref="E25"/>
  </mergeCells>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60"/>
  <sheetViews>
    <sheetView showGridLines="0" workbookViewId="0">
      <selection sqref="A1:E1"/>
    </sheetView>
  </sheetViews>
  <sheetFormatPr defaultRowHeight="14.5" x14ac:dyDescent="0.35"/>
  <cols>
    <col min="1" max="1" width="44" customWidth="1"/>
    <col min="2" max="2" width="30" customWidth="1"/>
    <col min="3" max="3" width="40" customWidth="1"/>
    <col min="4" max="4" width="22" customWidth="1"/>
    <col min="5" max="5" width="12" customWidth="1"/>
  </cols>
  <sheetData>
    <row r="1" spans="1:5" ht="30" customHeight="1" x14ac:dyDescent="0.35">
      <c r="A1" s="140" t="s">
        <v>2220</v>
      </c>
      <c r="B1" s="120"/>
      <c r="C1" s="120"/>
      <c r="D1" s="120"/>
      <c r="E1" s="120"/>
    </row>
    <row r="2" spans="1:5" ht="18" customHeight="1" x14ac:dyDescent="0.35">
      <c r="A2" s="138" t="s">
        <v>2221</v>
      </c>
      <c r="B2" s="120"/>
      <c r="C2" s="120"/>
      <c r="D2" s="120"/>
      <c r="E2" s="120"/>
    </row>
    <row r="4" spans="1:5" ht="22" customHeight="1" x14ac:dyDescent="0.35">
      <c r="A4" s="141" t="s">
        <v>2222</v>
      </c>
      <c r="B4" s="120"/>
      <c r="C4" s="120"/>
      <c r="D4" s="120"/>
      <c r="E4" s="120"/>
    </row>
    <row r="5" spans="1:5" ht="46" customHeight="1" x14ac:dyDescent="0.35">
      <c r="A5" s="189" t="s">
        <v>2223</v>
      </c>
      <c r="B5" s="120"/>
      <c r="C5" s="120"/>
      <c r="D5" s="120"/>
      <c r="E5" s="120"/>
    </row>
    <row r="6" spans="1:5" ht="46" customHeight="1" x14ac:dyDescent="0.35">
      <c r="A6" s="189" t="s">
        <v>2224</v>
      </c>
      <c r="B6" s="120"/>
      <c r="C6" s="120"/>
      <c r="D6" s="120"/>
      <c r="E6" s="120"/>
    </row>
    <row r="7" spans="1:5" ht="46" customHeight="1" x14ac:dyDescent="0.35">
      <c r="A7" s="191" t="s">
        <v>2225</v>
      </c>
      <c r="B7" s="120"/>
      <c r="C7" s="120"/>
      <c r="D7" s="120"/>
      <c r="E7" s="120"/>
    </row>
    <row r="9" spans="1:5" ht="22" customHeight="1" x14ac:dyDescent="0.35">
      <c r="A9" s="141" t="s">
        <v>2226</v>
      </c>
      <c r="B9" s="120"/>
      <c r="C9" s="120"/>
      <c r="D9" s="120"/>
      <c r="E9" s="120"/>
    </row>
    <row r="10" spans="1:5" ht="26" customHeight="1" x14ac:dyDescent="0.35">
      <c r="A10" s="148" t="s">
        <v>2227</v>
      </c>
      <c r="B10" s="148" t="s">
        <v>2228</v>
      </c>
      <c r="C10" s="148" t="s">
        <v>2229</v>
      </c>
      <c r="D10" s="148" t="s">
        <v>2230</v>
      </c>
    </row>
    <row r="11" spans="1:5" ht="24" customHeight="1" x14ac:dyDescent="0.35">
      <c r="A11" s="183">
        <v>73</v>
      </c>
      <c r="B11" s="183">
        <v>147</v>
      </c>
      <c r="C11" s="183">
        <v>16</v>
      </c>
      <c r="D11" s="183">
        <v>140</v>
      </c>
    </row>
    <row r="13" spans="1:5" ht="26" customHeight="1" x14ac:dyDescent="0.35">
      <c r="A13" s="148" t="s">
        <v>2230</v>
      </c>
      <c r="B13" s="148" t="s">
        <v>2231</v>
      </c>
      <c r="C13" s="148" t="s">
        <v>2232</v>
      </c>
      <c r="D13" s="148" t="s">
        <v>2233</v>
      </c>
      <c r="E13" s="148" t="s">
        <v>2234</v>
      </c>
    </row>
    <row r="14" spans="1:5" ht="24" customHeight="1" x14ac:dyDescent="0.35">
      <c r="A14" s="190">
        <v>140</v>
      </c>
      <c r="B14" s="190">
        <v>320</v>
      </c>
      <c r="C14" s="192">
        <v>0.4375</v>
      </c>
      <c r="D14" s="190">
        <v>6</v>
      </c>
      <c r="E14" s="190">
        <v>154</v>
      </c>
    </row>
    <row r="16" spans="1:5" ht="22" customHeight="1" x14ac:dyDescent="0.35">
      <c r="A16" s="141" t="s">
        <v>2235</v>
      </c>
      <c r="B16" s="120"/>
      <c r="C16" s="120"/>
      <c r="D16" s="120"/>
      <c r="E16" s="120"/>
    </row>
    <row r="17" spans="1:5" ht="30" customHeight="1" x14ac:dyDescent="0.35">
      <c r="A17" s="60" t="s">
        <v>26</v>
      </c>
      <c r="B17" s="60" t="s">
        <v>2025</v>
      </c>
      <c r="C17" s="60" t="s">
        <v>2236</v>
      </c>
      <c r="D17" s="60" t="s">
        <v>2237</v>
      </c>
    </row>
    <row r="18" spans="1:5" x14ac:dyDescent="0.35">
      <c r="A18" s="109" t="s">
        <v>299</v>
      </c>
      <c r="B18" s="62">
        <v>61</v>
      </c>
      <c r="C18" s="63">
        <f t="shared" ref="C18:C23" si="0">B18/SUM($B$18:$B$23)</f>
        <v>0.39610389610389612</v>
      </c>
      <c r="D18" s="79" t="s">
        <v>2238</v>
      </c>
    </row>
    <row r="19" spans="1:5" x14ac:dyDescent="0.35">
      <c r="A19" s="105" t="s">
        <v>315</v>
      </c>
      <c r="B19" s="62">
        <v>13</v>
      </c>
      <c r="C19" s="63">
        <f t="shared" si="0"/>
        <v>8.4415584415584416E-2</v>
      </c>
      <c r="D19" s="79" t="s">
        <v>2238</v>
      </c>
    </row>
    <row r="20" spans="1:5" x14ac:dyDescent="0.35">
      <c r="A20" s="106" t="s">
        <v>2239</v>
      </c>
      <c r="B20" s="62">
        <v>9</v>
      </c>
      <c r="C20" s="63">
        <f t="shared" si="0"/>
        <v>5.844155844155844E-2</v>
      </c>
      <c r="D20" s="79" t="s">
        <v>2238</v>
      </c>
    </row>
    <row r="21" spans="1:5" x14ac:dyDescent="0.35">
      <c r="A21" s="107" t="s">
        <v>342</v>
      </c>
      <c r="B21" s="62">
        <v>3</v>
      </c>
      <c r="C21" s="63">
        <f t="shared" si="0"/>
        <v>1.948051948051948E-2</v>
      </c>
      <c r="D21" s="79" t="s">
        <v>2238</v>
      </c>
    </row>
    <row r="22" spans="1:5" x14ac:dyDescent="0.35">
      <c r="A22" s="108" t="s">
        <v>2240</v>
      </c>
      <c r="B22" s="62">
        <v>3</v>
      </c>
      <c r="C22" s="63">
        <f t="shared" si="0"/>
        <v>1.948051948051948E-2</v>
      </c>
      <c r="D22" s="79" t="s">
        <v>2238</v>
      </c>
    </row>
    <row r="23" spans="1:5" x14ac:dyDescent="0.35">
      <c r="A23" s="104" t="s">
        <v>324</v>
      </c>
      <c r="B23" s="62">
        <v>65</v>
      </c>
      <c r="C23" s="63">
        <f t="shared" si="0"/>
        <v>0.42207792207792205</v>
      </c>
      <c r="D23" s="79" t="s">
        <v>2238</v>
      </c>
    </row>
    <row r="24" spans="1:5" x14ac:dyDescent="0.35">
      <c r="A24" s="49" t="s">
        <v>1587</v>
      </c>
      <c r="B24" s="53">
        <f>SUM(B18:B23)</f>
        <v>154</v>
      </c>
      <c r="C24" s="66">
        <f>SUM(C18:C23)</f>
        <v>0.99999999999999989</v>
      </c>
      <c r="D24" s="102"/>
    </row>
    <row r="26" spans="1:5" ht="22" customHeight="1" x14ac:dyDescent="0.35">
      <c r="A26" s="141" t="s">
        <v>2241</v>
      </c>
      <c r="B26" s="120"/>
      <c r="C26" s="120"/>
      <c r="D26" s="120"/>
      <c r="E26" s="120"/>
    </row>
    <row r="27" spans="1:5" ht="30" customHeight="1" x14ac:dyDescent="0.35">
      <c r="A27" s="60" t="s">
        <v>2047</v>
      </c>
      <c r="B27" s="60" t="s">
        <v>26</v>
      </c>
      <c r="C27" s="60" t="s">
        <v>2242</v>
      </c>
      <c r="D27" s="60"/>
      <c r="E27" s="60"/>
    </row>
    <row r="28" spans="1:5" ht="32" customHeight="1" x14ac:dyDescent="0.35">
      <c r="A28" s="103" t="s">
        <v>2049</v>
      </c>
      <c r="B28" s="53" t="s">
        <v>2243</v>
      </c>
      <c r="C28" s="144" t="s">
        <v>2244</v>
      </c>
      <c r="D28" s="145"/>
      <c r="E28" s="145"/>
    </row>
    <row r="29" spans="1:5" ht="32" customHeight="1" x14ac:dyDescent="0.35">
      <c r="A29" s="103" t="s">
        <v>2050</v>
      </c>
      <c r="B29" s="53" t="s">
        <v>2245</v>
      </c>
      <c r="C29" s="144" t="s">
        <v>2246</v>
      </c>
      <c r="D29" s="145"/>
      <c r="E29" s="145"/>
    </row>
    <row r="30" spans="1:5" ht="32" customHeight="1" x14ac:dyDescent="0.35">
      <c r="A30" s="103" t="s">
        <v>1861</v>
      </c>
      <c r="B30" s="53" t="s">
        <v>2247</v>
      </c>
      <c r="C30" s="144" t="s">
        <v>2248</v>
      </c>
      <c r="D30" s="145"/>
      <c r="E30" s="145"/>
    </row>
    <row r="31" spans="1:5" ht="32" customHeight="1" x14ac:dyDescent="0.35">
      <c r="A31" s="103" t="s">
        <v>2051</v>
      </c>
      <c r="B31" s="53" t="s">
        <v>2249</v>
      </c>
      <c r="C31" s="144" t="s">
        <v>2250</v>
      </c>
      <c r="D31" s="145"/>
      <c r="E31" s="145"/>
    </row>
    <row r="32" spans="1:5" ht="32" customHeight="1" x14ac:dyDescent="0.35">
      <c r="A32" s="103" t="s">
        <v>1898</v>
      </c>
      <c r="B32" s="53" t="s">
        <v>2251</v>
      </c>
      <c r="C32" s="144" t="s">
        <v>2252</v>
      </c>
      <c r="D32" s="145"/>
      <c r="E32" s="145"/>
    </row>
    <row r="33" spans="1:5" ht="32" customHeight="1" x14ac:dyDescent="0.35">
      <c r="A33" s="103" t="s">
        <v>2052</v>
      </c>
      <c r="B33" s="53" t="s">
        <v>2253</v>
      </c>
      <c r="C33" s="144" t="s">
        <v>2254</v>
      </c>
      <c r="D33" s="145"/>
      <c r="E33" s="145"/>
    </row>
    <row r="34" spans="1:5" ht="32" customHeight="1" x14ac:dyDescent="0.35">
      <c r="A34" s="103" t="s">
        <v>2053</v>
      </c>
      <c r="B34" s="53" t="s">
        <v>2255</v>
      </c>
      <c r="C34" s="144" t="s">
        <v>2256</v>
      </c>
      <c r="D34" s="145"/>
      <c r="E34" s="145"/>
    </row>
    <row r="35" spans="1:5" ht="32" customHeight="1" x14ac:dyDescent="0.35">
      <c r="A35" s="103" t="s">
        <v>2054</v>
      </c>
      <c r="B35" s="53" t="s">
        <v>2257</v>
      </c>
      <c r="C35" s="144" t="s">
        <v>2258</v>
      </c>
      <c r="D35" s="145"/>
      <c r="E35" s="145"/>
    </row>
    <row r="36" spans="1:5" ht="32" customHeight="1" x14ac:dyDescent="0.35">
      <c r="A36" s="103" t="s">
        <v>2259</v>
      </c>
      <c r="B36" s="53" t="s">
        <v>2260</v>
      </c>
      <c r="C36" s="144" t="s">
        <v>2261</v>
      </c>
      <c r="D36" s="145"/>
      <c r="E36" s="145"/>
    </row>
    <row r="38" spans="1:5" ht="22" customHeight="1" x14ac:dyDescent="0.35">
      <c r="A38" s="141" t="s">
        <v>2262</v>
      </c>
      <c r="B38" s="120"/>
      <c r="C38" s="120"/>
      <c r="D38" s="120"/>
      <c r="E38" s="120"/>
    </row>
    <row r="39" spans="1:5" ht="30" customHeight="1" x14ac:dyDescent="0.35">
      <c r="A39" s="60" t="s">
        <v>2263</v>
      </c>
      <c r="B39" s="60" t="s">
        <v>482</v>
      </c>
      <c r="C39" s="60" t="s">
        <v>60</v>
      </c>
      <c r="D39" s="60" t="s">
        <v>26</v>
      </c>
    </row>
    <row r="40" spans="1:5" ht="30" customHeight="1" x14ac:dyDescent="0.35">
      <c r="A40" s="76" t="s">
        <v>2264</v>
      </c>
      <c r="B40" s="76" t="s">
        <v>2265</v>
      </c>
      <c r="C40" s="62" t="s">
        <v>2266</v>
      </c>
      <c r="D40" s="89" t="s">
        <v>1333</v>
      </c>
    </row>
    <row r="41" spans="1:5" ht="30" customHeight="1" x14ac:dyDescent="0.35">
      <c r="A41" s="76" t="s">
        <v>2267</v>
      </c>
      <c r="B41" s="76" t="s">
        <v>2268</v>
      </c>
      <c r="C41" s="62" t="s">
        <v>339</v>
      </c>
      <c r="D41" s="89" t="s">
        <v>1333</v>
      </c>
    </row>
    <row r="42" spans="1:5" ht="30" customHeight="1" x14ac:dyDescent="0.35">
      <c r="A42" s="76" t="s">
        <v>2269</v>
      </c>
      <c r="B42" s="76" t="s">
        <v>2270</v>
      </c>
      <c r="C42" s="62" t="s">
        <v>339</v>
      </c>
      <c r="D42" s="89" t="s">
        <v>1333</v>
      </c>
    </row>
    <row r="43" spans="1:5" ht="30" customHeight="1" x14ac:dyDescent="0.35">
      <c r="A43" s="76" t="s">
        <v>2271</v>
      </c>
      <c r="B43" s="76" t="s">
        <v>2272</v>
      </c>
      <c r="C43" s="62" t="s">
        <v>339</v>
      </c>
      <c r="D43" s="89" t="s">
        <v>1333</v>
      </c>
    </row>
    <row r="44" spans="1:5" ht="30" customHeight="1" x14ac:dyDescent="0.35">
      <c r="A44" s="76" t="s">
        <v>2273</v>
      </c>
      <c r="B44" s="76" t="s">
        <v>2274</v>
      </c>
      <c r="C44" s="62" t="s">
        <v>2275</v>
      </c>
      <c r="D44" s="89" t="s">
        <v>1333</v>
      </c>
    </row>
    <row r="45" spans="1:5" ht="30" customHeight="1" x14ac:dyDescent="0.35">
      <c r="A45" s="76" t="s">
        <v>2276</v>
      </c>
      <c r="B45" s="76" t="s">
        <v>2277</v>
      </c>
      <c r="C45" s="62" t="s">
        <v>607</v>
      </c>
      <c r="D45" s="89" t="s">
        <v>1333</v>
      </c>
    </row>
    <row r="46" spans="1:5" ht="30" customHeight="1" x14ac:dyDescent="0.35">
      <c r="A46" s="76" t="s">
        <v>2278</v>
      </c>
      <c r="B46" s="76" t="s">
        <v>2279</v>
      </c>
      <c r="C46" s="62" t="s">
        <v>339</v>
      </c>
      <c r="D46" s="89" t="s">
        <v>1333</v>
      </c>
    </row>
    <row r="48" spans="1:5" ht="22" customHeight="1" x14ac:dyDescent="0.35">
      <c r="A48" s="141" t="s">
        <v>2280</v>
      </c>
      <c r="B48" s="120"/>
      <c r="C48" s="120"/>
      <c r="D48" s="120"/>
      <c r="E48" s="120"/>
    </row>
    <row r="49" spans="1:5" ht="30" customHeight="1" x14ac:dyDescent="0.35">
      <c r="A49" s="132" t="s">
        <v>2281</v>
      </c>
      <c r="B49" s="120"/>
      <c r="C49" s="120"/>
      <c r="D49" s="120"/>
      <c r="E49" s="120"/>
    </row>
    <row r="50" spans="1:5" ht="30" customHeight="1" x14ac:dyDescent="0.35">
      <c r="A50" s="132" t="s">
        <v>2282</v>
      </c>
      <c r="B50" s="120"/>
      <c r="C50" s="120"/>
      <c r="D50" s="120"/>
      <c r="E50" s="120"/>
    </row>
    <row r="51" spans="1:5" ht="30" customHeight="1" x14ac:dyDescent="0.35">
      <c r="A51" s="132" t="s">
        <v>2283</v>
      </c>
      <c r="B51" s="120"/>
      <c r="C51" s="120"/>
      <c r="D51" s="120"/>
      <c r="E51" s="120"/>
    </row>
    <row r="53" spans="1:5" ht="22" customHeight="1" x14ac:dyDescent="0.35">
      <c r="A53" s="141" t="s">
        <v>2284</v>
      </c>
      <c r="B53" s="120"/>
      <c r="C53" s="120"/>
      <c r="D53" s="120"/>
      <c r="E53" s="120"/>
    </row>
    <row r="54" spans="1:5" ht="26" customHeight="1" x14ac:dyDescent="0.35">
      <c r="A54" s="45" t="s">
        <v>2285</v>
      </c>
      <c r="B54" s="144" t="s">
        <v>2286</v>
      </c>
      <c r="C54" s="145"/>
      <c r="D54" s="145"/>
      <c r="E54" s="145"/>
    </row>
    <row r="55" spans="1:5" ht="26" customHeight="1" x14ac:dyDescent="0.35">
      <c r="A55" s="45" t="s">
        <v>2287</v>
      </c>
      <c r="B55" s="144" t="s">
        <v>2288</v>
      </c>
      <c r="C55" s="145"/>
      <c r="D55" s="145"/>
      <c r="E55" s="145"/>
    </row>
    <row r="56" spans="1:5" ht="26" customHeight="1" x14ac:dyDescent="0.35">
      <c r="A56" s="45" t="s">
        <v>2289</v>
      </c>
      <c r="B56" s="144" t="s">
        <v>2290</v>
      </c>
      <c r="C56" s="145"/>
      <c r="D56" s="145"/>
      <c r="E56" s="145"/>
    </row>
    <row r="57" spans="1:5" ht="26" customHeight="1" x14ac:dyDescent="0.35">
      <c r="A57" s="45" t="s">
        <v>2291</v>
      </c>
      <c r="B57" s="144" t="s">
        <v>2292</v>
      </c>
      <c r="C57" s="145"/>
      <c r="D57" s="145"/>
      <c r="E57" s="145"/>
    </row>
    <row r="58" spans="1:5" ht="26" customHeight="1" x14ac:dyDescent="0.35">
      <c r="A58" s="45" t="s">
        <v>2293</v>
      </c>
      <c r="B58" s="144" t="s">
        <v>2294</v>
      </c>
      <c r="C58" s="145"/>
      <c r="D58" s="145"/>
      <c r="E58" s="145"/>
    </row>
    <row r="59" spans="1:5" ht="26" customHeight="1" x14ac:dyDescent="0.35">
      <c r="A59" s="45" t="s">
        <v>2295</v>
      </c>
      <c r="B59" s="144" t="s">
        <v>2296</v>
      </c>
      <c r="C59" s="145"/>
      <c r="D59" s="145"/>
      <c r="E59" s="145"/>
    </row>
    <row r="60" spans="1:5" ht="26" customHeight="1" x14ac:dyDescent="0.35">
      <c r="A60" s="45" t="s">
        <v>2297</v>
      </c>
      <c r="B60" s="144" t="s">
        <v>2298</v>
      </c>
      <c r="C60" s="145"/>
      <c r="D60" s="145"/>
      <c r="E60" s="145"/>
    </row>
  </sheetData>
  <mergeCells count="49">
    <mergeCell ref="B60:E60"/>
    <mergeCell ref="A53:E53"/>
    <mergeCell ref="C33:E33"/>
    <mergeCell ref="A4:E4"/>
    <mergeCell ref="B57:E57"/>
    <mergeCell ref="B13"/>
    <mergeCell ref="A38:E38"/>
    <mergeCell ref="C11"/>
    <mergeCell ref="B10"/>
    <mergeCell ref="C29:E29"/>
    <mergeCell ref="A14"/>
    <mergeCell ref="C35:E35"/>
    <mergeCell ref="A9:E9"/>
    <mergeCell ref="B59:E59"/>
    <mergeCell ref="C14"/>
    <mergeCell ref="A11"/>
    <mergeCell ref="E14"/>
    <mergeCell ref="C32:E32"/>
    <mergeCell ref="A50:E50"/>
    <mergeCell ref="C28:E28"/>
    <mergeCell ref="B56:E56"/>
    <mergeCell ref="A26:E26"/>
    <mergeCell ref="B58:E58"/>
    <mergeCell ref="B11"/>
    <mergeCell ref="D11"/>
    <mergeCell ref="C30:E30"/>
    <mergeCell ref="D13"/>
    <mergeCell ref="B14"/>
    <mergeCell ref="E13"/>
    <mergeCell ref="B55:E55"/>
    <mergeCell ref="A10"/>
    <mergeCell ref="A13"/>
    <mergeCell ref="A6:E6"/>
    <mergeCell ref="D14"/>
    <mergeCell ref="C13"/>
    <mergeCell ref="C36:E36"/>
    <mergeCell ref="A16:E16"/>
    <mergeCell ref="A7:E7"/>
    <mergeCell ref="B54:E54"/>
    <mergeCell ref="D10"/>
    <mergeCell ref="C10"/>
    <mergeCell ref="C34:E34"/>
    <mergeCell ref="A48:E48"/>
    <mergeCell ref="C31:E31"/>
    <mergeCell ref="A49:E49"/>
    <mergeCell ref="A51:E51"/>
    <mergeCell ref="A1:E1"/>
    <mergeCell ref="A2:E2"/>
    <mergeCell ref="A5:E5"/>
  </mergeCell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6"/>
  <sheetViews>
    <sheetView showGridLines="0" workbookViewId="0">
      <selection sqref="A1:B1"/>
    </sheetView>
  </sheetViews>
  <sheetFormatPr defaultRowHeight="14.5" x14ac:dyDescent="0.35"/>
  <cols>
    <col min="1" max="1" width="30" customWidth="1"/>
    <col min="2" max="2" width="110" customWidth="1"/>
  </cols>
  <sheetData>
    <row r="1" spans="1:2" ht="30" customHeight="1" x14ac:dyDescent="0.35">
      <c r="A1" s="140" t="s">
        <v>2299</v>
      </c>
      <c r="B1" s="120"/>
    </row>
    <row r="2" spans="1:2" ht="18" customHeight="1" x14ac:dyDescent="0.35">
      <c r="A2" s="138" t="s">
        <v>2300</v>
      </c>
      <c r="B2" s="120"/>
    </row>
    <row r="4" spans="1:2" ht="30" customHeight="1" x14ac:dyDescent="0.35">
      <c r="A4" s="60" t="s">
        <v>611</v>
      </c>
      <c r="B4" s="60" t="s">
        <v>2301</v>
      </c>
    </row>
    <row r="5" spans="1:2" ht="44" customHeight="1" x14ac:dyDescent="0.35">
      <c r="A5" s="49" t="s">
        <v>2302</v>
      </c>
      <c r="B5" s="76" t="s">
        <v>2303</v>
      </c>
    </row>
    <row r="6" spans="1:2" ht="44" customHeight="1" x14ac:dyDescent="0.35">
      <c r="A6" s="49" t="s">
        <v>2304</v>
      </c>
      <c r="B6" s="76" t="s">
        <v>2305</v>
      </c>
    </row>
    <row r="7" spans="1:2" ht="44" customHeight="1" x14ac:dyDescent="0.35">
      <c r="A7" s="49" t="s">
        <v>2306</v>
      </c>
      <c r="B7" s="76" t="s">
        <v>2307</v>
      </c>
    </row>
    <row r="8" spans="1:2" ht="44" customHeight="1" x14ac:dyDescent="0.35">
      <c r="A8" s="49" t="s">
        <v>2308</v>
      </c>
      <c r="B8" s="76" t="s">
        <v>2309</v>
      </c>
    </row>
    <row r="9" spans="1:2" ht="44" customHeight="1" x14ac:dyDescent="0.35">
      <c r="A9" s="49" t="s">
        <v>2310</v>
      </c>
      <c r="B9" s="76" t="s">
        <v>2311</v>
      </c>
    </row>
    <row r="10" spans="1:2" ht="44" customHeight="1" x14ac:dyDescent="0.35">
      <c r="A10" s="49" t="s">
        <v>2312</v>
      </c>
      <c r="B10" s="76" t="s">
        <v>2313</v>
      </c>
    </row>
    <row r="11" spans="1:2" ht="44" customHeight="1" x14ac:dyDescent="0.35">
      <c r="A11" s="49" t="s">
        <v>2314</v>
      </c>
      <c r="B11" s="76" t="s">
        <v>2315</v>
      </c>
    </row>
    <row r="12" spans="1:2" ht="44" customHeight="1" x14ac:dyDescent="0.35">
      <c r="A12" s="49" t="s">
        <v>2316</v>
      </c>
      <c r="B12" s="76" t="s">
        <v>2317</v>
      </c>
    </row>
    <row r="14" spans="1:2" x14ac:dyDescent="0.35">
      <c r="A14" s="193" t="s">
        <v>2318</v>
      </c>
      <c r="B14" s="120"/>
    </row>
    <row r="15" spans="1:2" x14ac:dyDescent="0.35">
      <c r="A15" s="193" t="s">
        <v>2319</v>
      </c>
      <c r="B15" s="120"/>
    </row>
    <row r="16" spans="1:2" x14ac:dyDescent="0.35">
      <c r="A16" s="193" t="s">
        <v>2320</v>
      </c>
      <c r="B16" s="120"/>
    </row>
  </sheetData>
  <mergeCells count="5">
    <mergeCell ref="A16:B16"/>
    <mergeCell ref="A2:B2"/>
    <mergeCell ref="A15:B15"/>
    <mergeCell ref="A14:B14"/>
    <mergeCell ref="A1:B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7"/>
  <sheetViews>
    <sheetView showGridLines="0" topLeftCell="A10" workbookViewId="0">
      <selection sqref="A1:C1"/>
    </sheetView>
  </sheetViews>
  <sheetFormatPr defaultRowHeight="14.5" x14ac:dyDescent="0.35"/>
  <cols>
    <col min="1" max="1" width="30" customWidth="1"/>
    <col min="2" max="2" width="96" customWidth="1"/>
    <col min="3" max="3" width="16" customWidth="1"/>
  </cols>
  <sheetData>
    <row r="1" spans="1:3" ht="30" customHeight="1" x14ac:dyDescent="0.35">
      <c r="A1" s="140" t="s">
        <v>2321</v>
      </c>
      <c r="B1" s="120"/>
      <c r="C1" s="120"/>
    </row>
    <row r="2" spans="1:3" ht="18" customHeight="1" x14ac:dyDescent="0.35">
      <c r="A2" s="138" t="s">
        <v>2322</v>
      </c>
      <c r="B2" s="120"/>
      <c r="C2" s="120"/>
    </row>
    <row r="4" spans="1:3" ht="30" customHeight="1" x14ac:dyDescent="0.35">
      <c r="A4" s="60" t="s">
        <v>2323</v>
      </c>
      <c r="B4" s="60" t="s">
        <v>2324</v>
      </c>
      <c r="C4" s="60" t="s">
        <v>2325</v>
      </c>
    </row>
    <row r="5" spans="1:3" ht="40" customHeight="1" x14ac:dyDescent="0.35">
      <c r="A5" s="49" t="s">
        <v>2326</v>
      </c>
      <c r="B5" s="76" t="s">
        <v>2327</v>
      </c>
      <c r="C5" s="96" t="s">
        <v>1546</v>
      </c>
    </row>
    <row r="6" spans="1:3" ht="40" customHeight="1" x14ac:dyDescent="0.35">
      <c r="A6" s="49" t="s">
        <v>2328</v>
      </c>
      <c r="B6" s="76" t="s">
        <v>2329</v>
      </c>
      <c r="C6" s="96" t="s">
        <v>1546</v>
      </c>
    </row>
    <row r="7" spans="1:3" ht="40" customHeight="1" x14ac:dyDescent="0.35">
      <c r="A7" s="49" t="s">
        <v>2330</v>
      </c>
      <c r="B7" s="76" t="s">
        <v>2331</v>
      </c>
      <c r="C7" s="96" t="s">
        <v>1546</v>
      </c>
    </row>
    <row r="8" spans="1:3" ht="40" customHeight="1" x14ac:dyDescent="0.35">
      <c r="A8" s="49" t="s">
        <v>2332</v>
      </c>
      <c r="B8" s="76" t="s">
        <v>2333</v>
      </c>
      <c r="C8" s="96" t="s">
        <v>1546</v>
      </c>
    </row>
    <row r="10" spans="1:3" ht="22" customHeight="1" x14ac:dyDescent="0.35">
      <c r="A10" s="141" t="s">
        <v>2334</v>
      </c>
      <c r="B10" s="120"/>
      <c r="C10" s="120"/>
    </row>
    <row r="11" spans="1:3" ht="30" customHeight="1" x14ac:dyDescent="0.35">
      <c r="A11" s="60" t="s">
        <v>2263</v>
      </c>
      <c r="B11" s="60" t="s">
        <v>26</v>
      </c>
      <c r="C11" s="60"/>
    </row>
    <row r="12" spans="1:3" ht="28" customHeight="1" x14ac:dyDescent="0.35">
      <c r="A12" s="76" t="s">
        <v>2335</v>
      </c>
      <c r="B12" s="144" t="s">
        <v>2336</v>
      </c>
      <c r="C12" s="145"/>
    </row>
    <row r="13" spans="1:3" ht="28" customHeight="1" x14ac:dyDescent="0.35">
      <c r="A13" s="76" t="s">
        <v>2337</v>
      </c>
      <c r="B13" s="144" t="s">
        <v>2338</v>
      </c>
      <c r="C13" s="145"/>
    </row>
    <row r="14" spans="1:3" ht="28" customHeight="1" x14ac:dyDescent="0.35">
      <c r="A14" s="76" t="s">
        <v>2339</v>
      </c>
      <c r="B14" s="144" t="s">
        <v>2340</v>
      </c>
      <c r="C14" s="145"/>
    </row>
    <row r="15" spans="1:3" ht="28" customHeight="1" x14ac:dyDescent="0.35">
      <c r="A15" s="76" t="s">
        <v>2341</v>
      </c>
      <c r="B15" s="144" t="s">
        <v>2342</v>
      </c>
      <c r="C15" s="145"/>
    </row>
    <row r="16" spans="1:3" ht="28" customHeight="1" x14ac:dyDescent="0.35">
      <c r="A16" s="76" t="s">
        <v>2343</v>
      </c>
      <c r="B16" s="144" t="s">
        <v>2344</v>
      </c>
      <c r="C16" s="145"/>
    </row>
    <row r="17" spans="1:3" ht="28" customHeight="1" x14ac:dyDescent="0.35">
      <c r="A17" s="76" t="s">
        <v>2297</v>
      </c>
      <c r="B17" s="144" t="s">
        <v>2298</v>
      </c>
      <c r="C17" s="145"/>
    </row>
  </sheetData>
  <mergeCells count="9">
    <mergeCell ref="B17:C17"/>
    <mergeCell ref="A2:C2"/>
    <mergeCell ref="B12:C12"/>
    <mergeCell ref="B13:C13"/>
    <mergeCell ref="A10:C10"/>
    <mergeCell ref="B16:C16"/>
    <mergeCell ref="B15:C15"/>
    <mergeCell ref="A1:C1"/>
    <mergeCell ref="B14:C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Cover</vt:lpstr>
      <vt:lpstr>ReadMe</vt:lpstr>
      <vt:lpstr>Lifecycle Roadmap</vt:lpstr>
      <vt:lpstr>Setup &amp; Design Plan</vt:lpstr>
      <vt:lpstr>CXO Governance</vt:lpstr>
      <vt:lpstr>Change &amp; Adoption</vt:lpstr>
      <vt:lpstr>Success Plan</vt:lpstr>
      <vt:lpstr>Value Stream Map</vt:lpstr>
      <vt:lpstr>KPI Dashboard</vt:lpstr>
      <vt:lpstr>RACI Matrix</vt:lpstr>
      <vt:lpstr>RAID Log</vt:lpstr>
      <vt:lpstr>Artefact Register</vt:lpstr>
      <vt:lpstr>Sprint Capacity Planner</vt:lpstr>
      <vt:lpstr>Sprint Performance Tracker</vt:lpstr>
      <vt:lpstr>Sprint Roadmap</vt:lpstr>
      <vt:lpstr>Board Tasks</vt:lpstr>
      <vt:lpstr>Delivery Board</vt:lpstr>
      <vt:lpstr>Gate Checklist</vt:lpstr>
      <vt:lpstr>Kanban Board</vt:lpstr>
      <vt:lpstr>Kanban Dashboard</vt:lpstr>
      <vt:lpstr>Sprint Planner Dashboard</vt:lpstr>
      <vt:lpstr>Status Report</vt:lpstr>
      <vt:lpstr>Delivered Pages</vt:lpstr>
      <vt:lpstr>CI-CD Pipeline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Mahesh Tiwari</cp:lastModifiedBy>
  <dcterms:created xsi:type="dcterms:W3CDTF">2026-10-14T15:05:39Z</dcterms:created>
  <dcterms:modified xsi:type="dcterms:W3CDTF">2026-10-14T15:08:38Z</dcterms:modified>
</cp:coreProperties>
</file>